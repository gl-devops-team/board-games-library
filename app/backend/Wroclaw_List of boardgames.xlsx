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rvation" sheetId="1" state="visible" r:id="rId3"/>
    <sheet name="Proposal 2021" sheetId="2" state="hidden" r:id="rId4"/>
    <sheet name="Proposal 2017" sheetId="3" state="hidden" r:id="rId5"/>
  </sheets>
  <definedNames>
    <definedName function="false" hidden="true" localSheetId="2" name="_xlnm._FilterDatabase" vbProcedure="false">'Proposal 2017'!$A$1:$Z$55</definedName>
    <definedName function="false" hidden="true" localSheetId="1" name="_xlnm._FilterDatabase" vbProcedure="false">'Proposal 2021'!$B$1:$H$14</definedName>
    <definedName function="false" hidden="true" localSheetId="0" name="_xlnm._FilterDatabase" vbProcedure="false">Reservation!$A$1:$D$48</definedName>
    <definedName function="false" hidden="true" localSheetId="0" name="Z_1BF27865_F594_4062_9A49_F977E986ACFA_.wvu.FilterData" vbProcedure="false">Reservation!$A$1:$D$48</definedName>
    <definedName function="false" hidden="true" localSheetId="0" name="Z_1C913942_706A_436A_86CF_9001D0F354C4_.wvu.FilterData" vbProcedure="false">Reservation!$A$1:$D$48</definedName>
    <definedName function="false" hidden="true" localSheetId="0" name="Z_8C341BB8_2A86_472B_9237_E58D3DBA48CA_.wvu.FilterData" vbProcedure="false">Reservation!$A$1:$D$48</definedName>
    <definedName function="false" hidden="true" localSheetId="0" name="Z_9EE0B1A7_5BD4_4436_916B_FB7538173030_.wvu.FilterData" vbProcedure="false">Reservation!$A$1:$C$48</definedName>
    <definedName function="false" hidden="true" localSheetId="0" name="Z_C040C488_6BE1_4173_85AF_D8A8F4E62A8F_.wvu.FilterData" vbProcedure="false">Reservation!$A$1:$C$48</definedName>
    <definedName function="false" hidden="true" localSheetId="0" name="Z_DED7CB0A_B829_4F8C_BB60_3D9429E46300_.wvu.FilterData" vbProcedure="false">Reservation!$A$1:$D$48</definedName>
    <definedName function="false" hidden="true" localSheetId="0" name="Z_DF59FC86_9748_44EF_BCEE_D15027514C2B_.wvu.FilterData" vbProcedure="false">Reservation!$A$1:$D$48</definedName>
    <definedName function="false" hidden="true" localSheetId="0" name="Z_EA653D61_1A74_42CB_BC91_6D2D06756CAE_.wvu.FilterData" vbProcedure="false">Reservation!$A$1:$D$48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<sst xmlns="http://schemas.openxmlformats.org/spreadsheetml/2006/main" count="612" uniqueCount="327">
  <si>
    <t xml:space="preserve">Name</t>
  </si>
  <si>
    <t xml:space="preserve">Number of players</t>
  </si>
  <si>
    <t xml:space="preserve">Average game time [h:mm]</t>
  </si>
  <si>
    <t xml:space="preserve">Category</t>
  </si>
  <si>
    <t xml:space="preserve">Image URL</t>
  </si>
  <si>
    <t xml:space="preserve">6 bierze</t>
  </si>
  <si>
    <t xml:space="preserve">2-10</t>
  </si>
  <si>
    <t xml:space="preserve">Family</t>
  </si>
  <si>
    <t xml:space="preserve">https://cf.geekdo-images.com/1OBsuvvNteTAXejvCqlFPA__imagepage/img/etIKwL6X1JBQ7imk2gBmkGAPx6Q=/fit-in/900x600/filters:no_upscale():strip_icc()/pic4894307.jpg</t>
  </si>
  <si>
    <t xml:space="preserve">7 cudów świata</t>
  </si>
  <si>
    <t xml:space="preserve">2-7</t>
  </si>
  <si>
    <t xml:space="preserve">Strategic</t>
  </si>
  <si>
    <t xml:space="preserve">https://cf.geekdo-images.com/35h9Za_JvMMMtx_92kT0Jg__imagepage/img/WKlTys0Dc3F6x9r05Fwyvs82tz4=/fit-in/900x600/filters:no_upscale():strip_icc()/pic7149798.jpg</t>
  </si>
  <si>
    <t xml:space="preserve">Atari Go</t>
  </si>
  <si>
    <t xml:space="preserve">https://cf.geekdo-images.com/6qAiZwWxSSKP2kFcA80cZg__imagepage@2x/img/7hE78-RL5orYLxzEQ7S_LjQVOVc=/fit-in/1800x1200/filters:strip_icc()/pic1728832.jpg</t>
  </si>
  <si>
    <t xml:space="preserve">Azul</t>
  </si>
  <si>
    <t xml:space="preserve">2-4</t>
  </si>
  <si>
    <t xml:space="preserve">https://cf.geekdo-images.com/aPSHJO0d0XOpQR5X-wJonw__imagepage/img/q4uWd2nXGeEkKDR8Cc3NhXG9PEU=/fit-in/900x600/filters:no_upscale():strip_icc()/pic6973671.png</t>
  </si>
  <si>
    <t xml:space="preserve">Backgammon</t>
  </si>
  <si>
    <t xml:space="preserve">https://cf.geekdo-images.com/QQCaOWVN1uCcjCq-2dbXbw__imagepage@2x/img/i1nBTcobOQOQgzD6KF6OMUfoyfA=/fit-in/1800x1200/filters:strip_icc()/pic342451.jpg</t>
  </si>
  <si>
    <t xml:space="preserve">Brzdęk</t>
  </si>
  <si>
    <t xml:space="preserve">https://cf.geekdo-images.com/DPjV1iI0ygo5Bl3XLNRiIg__imagepage/img/R9z8w4GndbY-r3fG_LK1LvBvLc0=/fit-in/900x600/filters:no_upscale():strip_icc()/pic4449526.jpg</t>
  </si>
  <si>
    <t xml:space="preserve">Carcassonne Big Box</t>
  </si>
  <si>
    <t xml:space="preserve">2-6</t>
  </si>
  <si>
    <t xml:space="preserve">https://cf.geekdo-images.com/gYRdnw7GeElaIsO84UsARQ__imagepage/img/Zb-JLG_-06-8bFwgAb_p5x8chSc=/fit-in/900x600/filters:no_upscale():strip_icc()/pic1632563.jpg</t>
  </si>
  <si>
    <t xml:space="preserve">Cash &amp; Guns</t>
  </si>
  <si>
    <t xml:space="preserve">2-8</t>
  </si>
  <si>
    <t xml:space="preserve">Party</t>
  </si>
  <si>
    <t xml:space="preserve">https://cf.geekdo-images.com/_UpTZr1itCcHdnnbuTUnQQ__imagepage/img/HuPHo6QOFg8AvvzT-LcLu1Th3C0=/fit-in/900x600/filters:no_upscale():strip_icc()/pic87523.jpg</t>
  </si>
  <si>
    <t xml:space="preserve">Colt Express</t>
  </si>
  <si>
    <t xml:space="preserve">https://cf.geekdo-images.com/2HKX0QANk_DY7CIVK5O5fQ__imagepage/img/zxnigooCnQod4ILYJ13_X9xj0Cg=/fit-in/900x600/filters:no_upscale():strip_icc()/pic2869710.jpg</t>
  </si>
  <si>
    <t xml:space="preserve">Cyklady</t>
  </si>
  <si>
    <t xml:space="preserve">2-5</t>
  </si>
  <si>
    <t xml:space="preserve">https://cf.geekdo-images.com/6QbaJOS8acWkJ6gSYI0KaQ__imagepage/img/nsZYZovWCEFL3MsohH7GWycMmno=/fit-in/900x600/filters:no_upscale():strip_icc()/pic584779.jpg</t>
  </si>
  <si>
    <t xml:space="preserve">Cytadela</t>
  </si>
  <si>
    <t xml:space="preserve">https://cf.geekdo-images.com/shXqRK7Sfsp-jCLwoN3kqw__imagepage/img/nP2cYlSYKQmTrS9C3Pnh3rQSpZU=/fit-in/900x600/filters:no_upscale():strip_icc()/pic636868.jpg</t>
  </si>
  <si>
    <t xml:space="preserve">Czarne historie</t>
  </si>
  <si>
    <t xml:space="preserve">2-15</t>
  </si>
  <si>
    <t xml:space="preserve">https://cf.geekdo-images.com/NPnm8Pz2-uvMsbeptOX0fw__imagepage/img/_b94gdpszYq8uoNhvt7r3FQIvoQ=/fit-in/900x600/filters:no_upscale():strip_icc()/pic208686.jpg</t>
  </si>
  <si>
    <t xml:space="preserve">Decrypto</t>
  </si>
  <si>
    <t xml:space="preserve">3-x</t>
  </si>
  <si>
    <t xml:space="preserve">https://cf.geekdo-images.com/4_cqWxGHetzYR1YsDM9uTA__imagepage/img/bZw2yFTKQX5NqJY0dCV6fC4rjUw=/fit-in/900x600/filters:no_upscale():strip_icc()/pic4072749.png</t>
  </si>
  <si>
    <t xml:space="preserve">Diuna Imperium</t>
  </si>
  <si>
    <t xml:space="preserve">1-4</t>
  </si>
  <si>
    <t xml:space="preserve">https://cf.geekdo-images.com/PhjygpWSo-0labGrPBMyyg__imagepage/img/BjM3LyahJ4IQ2ov5MkzkHatbmUc=/fit-in/900x600/filters:no_upscale():strip_icc()/pic5666597.jpg</t>
  </si>
  <si>
    <t xml:space="preserve">Dixit Odyssey</t>
  </si>
  <si>
    <t xml:space="preserve">3-12</t>
  </si>
  <si>
    <t xml:space="preserve">https://cf.geekdo-images.com/J0PlHArkZDJ57H-brXW2Fw__imagepage@2x/img/J1XsxEH7Ao9Cr9MwRwiJQTgn8vM=/fit-in/1800x1200/filters:strip_icc()/pic6738336.jpg</t>
  </si>
  <si>
    <t xml:space="preserve">Dobble</t>
  </si>
  <si>
    <t xml:space="preserve">Arcade</t>
  </si>
  <si>
    <t xml:space="preserve">https://cf.geekdo-images.com/hqDT4HbEb2eNCyMOeiGj-g__imagepage/img/WlZFYOxtPUvTBBAW4h9AkjaTWKc=/fit-in/900x600/filters:no_upscale():strip_icc()/pic6477003.png</t>
  </si>
  <si>
    <t xml:space="preserve">Domek</t>
  </si>
  <si>
    <t xml:space="preserve">https://cf.geekdo-images.com/CtVH__gM0TBISzOzV3OeFQ__imagepage/img/1ljJ1RdR3PwdTHJotVESmAzYKZw=/fit-in/900x600/filters:no_upscale():strip_icc()/pic3176771.jpg</t>
  </si>
  <si>
    <t xml:space="preserve">Eksplodujace kotki</t>
  </si>
  <si>
    <t xml:space="preserve">https://cf.geekdo-images.com/N8bL53-pRU7zaXDTrEaYrw__imagepage/img/qdivOjtkEd8Jma35bdI3mOwaoZg=/fit-in/900x600/filters:no_upscale():strip_icc()/pic2691976.png</t>
  </si>
  <si>
    <t xml:space="preserve">Fasolki</t>
  </si>
  <si>
    <t xml:space="preserve">https://cf.geekdo-images.com/8SADtu_4zBH_UJrCo935Iw__imagepage/img/KkvO2G421KttUm3cyuvaV5slNOo=/fit-in/900x600/filters:no_upscale():strip_icc()/pic6348964.jpg</t>
  </si>
  <si>
    <t xml:space="preserve">Fuse</t>
  </si>
  <si>
    <t xml:space="preserve">1-5</t>
  </si>
  <si>
    <t xml:space="preserve">https://cf.geekdo-images.com/q6V72bfqeoKi3bfThY3XfQ__imagepage@2x/img/hHZOE2MzYhr-ZCzo_oezjpqvFcU=/fit-in/1800x1200/filters:strip_icc()/pic5172335.jpg</t>
  </si>
  <si>
    <t xml:space="preserve">Gra o Tron 2ed</t>
  </si>
  <si>
    <t xml:space="preserve">3-6</t>
  </si>
  <si>
    <t xml:space="preserve">https://cf.geekdo-images.com/M_7UvwZvuxBVjxdadsa5AA__imagepage/img/AuKDe6Q4lyGdm6rTS2JUEXvhTbQ=/fit-in/900x600/filters:no_upscale():strip_icc()/pic1077906.jpg</t>
  </si>
  <si>
    <t xml:space="preserve">iKnow</t>
  </si>
  <si>
    <t xml:space="preserve">Educational</t>
  </si>
  <si>
    <t xml:space="preserve">https://cf.geekdo-images.com/GDCDK9ZaD4AfTYf8FWoVaA__imagepage/img/NmVzT2QhfssEMSP6_2GK6r4D2Us=/fit-in/900x600/filters:no_upscale():strip_icc()/pic5885668.jpg</t>
  </si>
  <si>
    <t xml:space="preserve">Jungle Speed</t>
  </si>
  <si>
    <t xml:space="preserve">https://cf.geekdo-images.com/pb553nZgH3akaF24MzT7nA__imagepage@2x/img/qHN8rvVqrR0Lj0C4PcKT3OVECPE=/fit-in/1800x1200/filters:strip_icc()/pic4659199.jpg</t>
  </si>
  <si>
    <t xml:space="preserve">Karty</t>
  </si>
  <si>
    <t xml:space="preserve">1-x</t>
  </si>
  <si>
    <t xml:space="preserve">-</t>
  </si>
  <si>
    <t xml:space="preserve">Karty dżentelmenów</t>
  </si>
  <si>
    <t xml:space="preserve">3-15</t>
  </si>
  <si>
    <t xml:space="preserve">https://cf.geekdo-images.com/WvVBEoqIyiXg6HRG6l93cA__imagepage/img/YBFVbjn_Y35DoscxJjmJR6_C7AA=/fit-in/900x600/filters:no_upscale():strip_icc()/pic2807982.jpg</t>
  </si>
  <si>
    <t xml:space="preserve">Kolejka </t>
  </si>
  <si>
    <t xml:space="preserve">https://cf.geekdo-images.com/e9sX70pm3-beOOEQ8ktK5g__imagepage@2x/img/Udw4gaXD0M7qocnxv9X7ktdXxOs=/fit-in/1800x1200/filters:strip_icc()/pic928373.jpg</t>
  </si>
  <si>
    <t xml:space="preserve">Mafia</t>
  </si>
  <si>
    <t xml:space="preserve">7-22</t>
  </si>
  <si>
    <t xml:space="preserve">https://cf.geekdo-images.com/ZVQgFnWOS1Qb2-7t_u8REw__imagepage/img/7aufSaQLgL2zKWoreXCqLVxGepw=/fit-in/900x600/filters:no_upscale():strip_icc()/pic261358.jpg</t>
  </si>
  <si>
    <t xml:space="preserve">Mamy Szpiega 2</t>
  </si>
  <si>
    <t xml:space="preserve">https://cf.geekdo-images.com/4nE3EGcIVJnItZOdZ2NrxA__imagepage@2x/img/Jf5sDJKiClqZhYLa1EiM4FTagh4=/fit-in/1800x1200/filters:strip_icc()/pic4141398.jpg</t>
  </si>
  <si>
    <t xml:space="preserve">Megawojownicy</t>
  </si>
  <si>
    <t xml:space="preserve">https://cf.geekdo-images.com/CVh9A7HfIjyBWel2oACmTw__imagepage/img/7sEjjupJ06DBbcPg68R6ayHeZJ0=/fit-in/900x600/filters:no_upscale():strip_icc()/pic2409973.jpg</t>
  </si>
  <si>
    <t xml:space="preserve">Na skrzydłach</t>
  </si>
  <si>
    <t xml:space="preserve">https://cf.geekdo-images.com/yLZJCVLlIx4c7eJEWUNJ7w__imagepage/img/uIjeoKgHMcRtzRSR4MoUYl3nXxs=/fit-in/900x600/filters:no_upscale():strip_icc()/pic4458123.jpg</t>
  </si>
  <si>
    <t xml:space="preserve">Osadnicy z Catanu</t>
  </si>
  <si>
    <t xml:space="preserve">3-4</t>
  </si>
  <si>
    <t xml:space="preserve">https://cf.geekdo-images.com/0XODRpReiZBFUffEcqT5-Q__imagepage/img/enC7UTvCAnb6j1Uazvh0OBQjvxw=/fit-in/900x600/filters:no_upscale():strip_icc()/pic9156909.png</t>
  </si>
  <si>
    <t xml:space="preserve">Pędzące Żółwie</t>
  </si>
  <si>
    <t xml:space="preserve">https://cf.geekdo-images.com/tavWylsUT7gwuLN39fpp_Q__imagepage/img/OfMiH3Bc8sguih-6Us7hmVi4R7E=/fit-in/900x600/filters:no_upscale():strip_icc()/pic8623849.jpg</t>
  </si>
  <si>
    <t xml:space="preserve">Przebiegłe wielbłądy</t>
  </si>
  <si>
    <t xml:space="preserve">https://cf.geekdo-images.com/jVr1bGBQpshqVPcwvZ7CPg__imagepage/img/izUYPKEp6La-pRe5SgA1TKhPSXM=/fit-in/900x600/filters:no_upscale():strip_icc()/pic1918028.jpg</t>
  </si>
  <si>
    <t xml:space="preserve">Root</t>
  </si>
  <si>
    <t xml:space="preserve">https://cf.geekdo-images.com/JUAUWaVUzeBgzirhZNmHHw__imagepage@2x/img/Ovil61ILKIUL8keuBs7YWnYcsRI=/fit-in/1800x1200/filters:strip_icc()/pic4254509.jpg</t>
  </si>
  <si>
    <t xml:space="preserve">Sabotażysta</t>
  </si>
  <si>
    <t xml:space="preserve">3-10</t>
  </si>
  <si>
    <t xml:space="preserve">https://cf.geekdo-images.com/0vJwP6NGa7GHPZKC3gplUw__imagepage/img/HTsjdbMkBnY50FfT6GOECkceD0Y=/fit-in/900x600/filters:no_upscale():strip_icc()/pic3989824.jpg</t>
  </si>
  <si>
    <t xml:space="preserve">Scrabble</t>
  </si>
  <si>
    <t xml:space="preserve">https://cf.geekdo-images.com/mVmmntn2oQd0PfFrWBvwIQ__imagepage/img/jMu8xW0e_AZpYaBmZN0IRm04jKQ=/fit-in/900x600/filters:no_upscale():strip_icc()/pic404651.jpg</t>
  </si>
  <si>
    <t xml:space="preserve">Scythe</t>
  </si>
  <si>
    <t xml:space="preserve">https://cf.geekdo-images.com/7k_nOxpO9OGIjhLq2BUZdA__imagepage@2x/img/DjzadozjcJUwXDwyQ-o7mQIqYfw=/fit-in/1800x1200/filters:strip_icc()/pic3163924.jpg</t>
  </si>
  <si>
    <t xml:space="preserve">Set</t>
  </si>
  <si>
    <t xml:space="preserve">2-x</t>
  </si>
  <si>
    <t xml:space="preserve">https://cf.geekdo-images.com/uEtWO_Ag8OxbG6NkSZbH6A__imagepage/img/_8NOucACj_E1Ot--bvJ8rZDZQjU=/fit-in/900x600/filters:no_upscale():strip_icc()/pic7627182.png</t>
  </si>
  <si>
    <t xml:space="preserve">Spirit Island</t>
  </si>
  <si>
    <t xml:space="preserve">https://cf.geekdo-images.com/kjCm4ZvPjIZxS-mYgSPy1g__imagepage/img/py7KzNjXVOuVesFZB7LwqCbvALY=/fit-in/900x600/filters:no_upscale():strip_icc()/pic7013651.jpg</t>
  </si>
  <si>
    <t xml:space="preserve">Splendor</t>
  </si>
  <si>
    <t xml:space="preserve">https://cf.geekdo-images.com/vNFe4JkhKAERzi4T0Ntwpw__imagepage@2x/img/o5_euaQYSaPxlu9L4i11AwVU4aQ=/fit-in/1800x1200/filters:strip_icc()/pic8234167.png</t>
  </si>
  <si>
    <t xml:space="preserve">Szachy</t>
  </si>
  <si>
    <t xml:space="preserve">https://cf.geekdo-images.com/0_RWFMNapgr5yCrdhvGi_Q__imagepage@2x/img/-NpRApu9a85q11TI3a6sDtSlEwE=/fit-in/1800x1200/filters:strip_icc()/pic8785991.jpg</t>
  </si>
  <si>
    <t xml:space="preserve">Szeryf z Nottingham</t>
  </si>
  <si>
    <t xml:space="preserve">3-5</t>
  </si>
  <si>
    <t xml:space="preserve">https://cf.geekdo-images.com/BBgLFKUzr6tcKtlIM2JSFw__imagepage@2x/img/OTVU62SRQpDDPqHtWPayAkCT-Z8=/fit-in/1800x1200/filters:strip_icc()/pic2075830.jpg</t>
  </si>
  <si>
    <t xml:space="preserve">Tajniacy</t>
  </si>
  <si>
    <t xml:space="preserve">https://cf.geekdo-images.com/_d4WMLK3MCY-fk0-G4CVzw__imagepage@2x/img/5xYRBktTJRdlX3Qgu0TvnAz_lzA=/fit-in/1800x1200/filters:strip_icc()/pic8980840.jpg</t>
  </si>
  <si>
    <t xml:space="preserve">Time's up party</t>
  </si>
  <si>
    <t xml:space="preserve">4-12</t>
  </si>
  <si>
    <t xml:space="preserve">https://cf.geekdo-images.com/vGuFv3zZz486JWRBHpnwTw__imagepage/img/d7M5FVqzOG5ogFLNSfsltpza-14=/fit-in/900x600/filters:no_upscale():strip_icc()/pic393663.jpg</t>
  </si>
  <si>
    <t xml:space="preserve">Timeline Polska</t>
  </si>
  <si>
    <t xml:space="preserve">https://cf.geekdo-images.com/A1qPcXZxP8ySsdOJeBN7iQ__imagepage/img/KUMRJHxSCHNYvnx7X_6Uaj8CGD8=/fit-in/900x600/filters:no_upscale():strip_icc()/pic3180463.jpg</t>
  </si>
  <si>
    <t xml:space="preserve">Timeline: Wynalazki</t>
  </si>
  <si>
    <t xml:space="preserve">https://cf.geekdo-images.com/lm4VudewCcllbE9GzBOhww__imagepage/img/pTSA7i_a8u3lBqfGPF7g7kwXej0=/fit-in/900x600/filters:no_upscale():strip_icc()/pic7108036.jpg</t>
  </si>
  <si>
    <t xml:space="preserve">Wsiąść do Pociągu: Europa</t>
  </si>
  <si>
    <t xml:space="preserve">https://cf.geekdo-images.com/0K1AOciqlMVUWFPLTJSiww__imagepage/img/pC5hC440R46jn4EpfdYV5rL4VOc=/fit-in/900x600/filters:no_upscale():strip_icc()/pic66668.jpg</t>
  </si>
  <si>
    <t xml:space="preserve">Priorytet</t>
  </si>
  <si>
    <t xml:space="preserve">Numer</t>
  </si>
  <si>
    <t xml:space="preserve">Lista</t>
  </si>
  <si>
    <t xml:space="preserve">Kategoria</t>
  </si>
  <si>
    <t xml:space="preserve">Cena zwykła</t>
  </si>
  <si>
    <t xml:space="preserve">Cena po zniżce</t>
  </si>
  <si>
    <t xml:space="preserve">Link do sklepu</t>
  </si>
  <si>
    <t xml:space="preserve">Rodzinna</t>
  </si>
  <si>
    <t xml:space="preserve">https://planszak.pl/pl/p/Azul-PL/3781</t>
  </si>
  <si>
    <t xml:space="preserve">https://planszak.pl/pl/p/Brzdek/3864</t>
  </si>
  <si>
    <t xml:space="preserve">https://planszak.pl/pl/p/Cytadela-nowa-edycja-/3818</t>
  </si>
  <si>
    <t xml:space="preserve">Imprezowa</t>
  </si>
  <si>
    <t xml:space="preserve">https://planszak.pl/pl/p/Decrypto/3777</t>
  </si>
  <si>
    <t xml:space="preserve">Strategiczna</t>
  </si>
  <si>
    <t xml:space="preserve">https://planszak.pl/pl/p/Diuna-Imperium-Dune-edycja-polska-/4462</t>
  </si>
  <si>
    <t xml:space="preserve">https://planszak.pl/pl/p/Eksplodujace-Kotki/3714</t>
  </si>
  <si>
    <t xml:space="preserve">https://planszak.pl/pl/p/Fasolki-Bohnanza-nowa-edycja-2017/3750</t>
  </si>
  <si>
    <t xml:space="preserve">Koszulki</t>
  </si>
  <si>
    <t xml:space="preserve">https://planszak.pl/pl/p/Na-skrzydlach-/3950</t>
  </si>
  <si>
    <t xml:space="preserve">https://planszak.pl/pl/p/Root/4029</t>
  </si>
  <si>
    <t xml:space="preserve">Ekonomiczna</t>
  </si>
  <si>
    <t xml:space="preserve">https://planszak.pl/pl/p/Scythe-edycja-polska/3615</t>
  </si>
  <si>
    <t xml:space="preserve">https://planszak.pl/pl/p/Spirit-Island-edycja-polska/4254</t>
  </si>
  <si>
    <t xml:space="preserve">Stare koszulki</t>
  </si>
  <si>
    <t xml:space="preserve">56x87</t>
  </si>
  <si>
    <t xml:space="preserve">65x91</t>
  </si>
  <si>
    <t xml:space="preserve">80x120</t>
  </si>
  <si>
    <t xml:space="preserve">Ilość</t>
  </si>
  <si>
    <t xml:space="preserve">44x68</t>
  </si>
  <si>
    <t xml:space="preserve">52x52</t>
  </si>
  <si>
    <t xml:space="preserve">57x89</t>
  </si>
  <si>
    <t xml:space="preserve">63.5x88</t>
  </si>
  <si>
    <t xml:space="preserve">70x110</t>
  </si>
  <si>
    <t xml:space="preserve">70x120</t>
  </si>
  <si>
    <t xml:space="preserve">101.5x153</t>
  </si>
  <si>
    <t xml:space="preserve">https://www.sleeveyourgames.com/sleeves/2125/scythe</t>
  </si>
  <si>
    <t xml:space="preserve">https://www.sleeveyourgames.com/sleeves/3777/decrypto</t>
  </si>
  <si>
    <t xml:space="preserve">https://www.sleeveyourgames.com/sleeves/838/exploding-kittens</t>
  </si>
  <si>
    <t xml:space="preserve">https://www.sleeveyourgames.com/sleeves/456/citadels</t>
  </si>
  <si>
    <t xml:space="preserve">https://www.sleeveyourgames.com/sleeves/3453/wingspan</t>
  </si>
  <si>
    <t xml:space="preserve">https://www.sleeveyourgames.com/sleeves/314/bohnanza</t>
  </si>
  <si>
    <t xml:space="preserve">https://www.sleeveyourgames.com/sleeves/466/clank-a-deckbuilding-adventure</t>
  </si>
  <si>
    <t xml:space="preserve">https://www.sleeveyourgames.com/sleeves/7149/dune-imperium</t>
  </si>
  <si>
    <t xml:space="preserve">https://www.sleeveyourgames.com/sleeves/2937/root</t>
  </si>
  <si>
    <t xml:space="preserve">https://www.sleeveyourgames.com/sleeves/2281/spirit-island</t>
  </si>
  <si>
    <t xml:space="preserve">Potrzeba łącznie</t>
  </si>
  <si>
    <t xml:space="preserve">Zostało z poprzedniego</t>
  </si>
  <si>
    <t xml:space="preserve">Należy kupić</t>
  </si>
  <si>
    <t xml:space="preserve">Link do koszulek</t>
  </si>
  <si>
    <t xml:space="preserve">https://planszak.pl/pl/p/SLOYCA-Koszulki-Mini-European-44x68mm-100-szt./4253</t>
  </si>
  <si>
    <t xml:space="preserve">brak</t>
  </si>
  <si>
    <t xml:space="preserve">https://planszak.pl/pl/p/SLOYCA-Koszulki-Standard-American-56x87mm-100-szt./4316</t>
  </si>
  <si>
    <t xml:space="preserve">https://planszak.pl/pl/p/Koszulki-na-karty-Rebel-57%2C5x89-mm-Standard-American%2C-100-sztuk-/3530</t>
  </si>
  <si>
    <t xml:space="preserve">https://planszak.pl/pl/p/Koszulki-SLOYCA-Standard-CCG-63%2C5-x-88-mm-100-szt./3945</t>
  </si>
  <si>
    <t xml:space="preserve">https://planszak.pl/pl/p/Koszulki-na-karty-Rebel-70x110-mm-Kraken%2C-100-sztuk-/3542</t>
  </si>
  <si>
    <t xml:space="preserve">https://planszak.pl/pl/p/Koszulki-na-karty-Rebel-70x120-mm-Tarot%2C-100-sztuk-/3543</t>
  </si>
  <si>
    <t xml:space="preserve">PLN za 100</t>
  </si>
  <si>
    <t xml:space="preserve">PLN za całość</t>
  </si>
  <si>
    <t xml:space="preserve">Łącznie</t>
  </si>
  <si>
    <t xml:space="preserve">Nazwa gry</t>
  </si>
  <si>
    <t xml:space="preserve">Cena</t>
  </si>
  <si>
    <t xml:space="preserve">Typ gry</t>
  </si>
  <si>
    <t xml:space="preserve">Liczba osób</t>
  </si>
  <si>
    <t xml:space="preserve">Czyja propozycja</t>
  </si>
  <si>
    <t xml:space="preserve">Status</t>
  </si>
  <si>
    <t xml:space="preserve">Potrzebne koszulki?</t>
  </si>
  <si>
    <t xml:space="preserve">Towarzyska</t>
  </si>
  <si>
    <t xml:space="preserve">2 do 10</t>
  </si>
  <si>
    <t xml:space="preserve">Michał K.</t>
  </si>
  <si>
    <t xml:space="preserve">Kupiona</t>
  </si>
  <si>
    <t xml:space="preserve">7 Cudów Świata</t>
  </si>
  <si>
    <t xml:space="preserve">2 do 7 osób</t>
  </si>
  <si>
    <t xml:space="preserve">155 szt.65x100 </t>
  </si>
  <si>
    <t xml:space="preserve">Agricola</t>
  </si>
  <si>
    <t xml:space="preserve">1 do 5 </t>
  </si>
  <si>
    <t xml:space="preserve">Ankh-Morpork</t>
  </si>
  <si>
    <t xml:space="preserve">do 4</t>
  </si>
  <si>
    <t xml:space="preserve">Agata O</t>
  </si>
  <si>
    <t xml:space="preserve">Niedostępna</t>
  </si>
  <si>
    <t xml:space="preserve">Niestety, 200 to już nieaktualna cena</t>
  </si>
  <si>
    <r>
      <rPr>
        <sz val="8"/>
        <rFont val="Cambria"/>
        <family val="0"/>
        <charset val="1"/>
      </rPr>
      <t xml:space="preserve">Tak, tak, tak, </t>
    </r>
    <r>
      <rPr>
        <b val="true"/>
        <sz val="8"/>
        <rFont val="Cambria"/>
        <family val="0"/>
        <charset val="1"/>
      </rPr>
      <t xml:space="preserve">tak tak - Marcin</t>
    </r>
  </si>
  <si>
    <t xml:space="preserve">Biały kruk :)</t>
  </si>
  <si>
    <t xml:space="preserve">Avalon - Rycerze Króla Artura</t>
  </si>
  <si>
    <t xml:space="preserve">3 do 10 osób</t>
  </si>
  <si>
    <t xml:space="preserve">Zakupiona już Mafia + przyniesione jest Secret Hitler</t>
  </si>
  <si>
    <t xml:space="preserve">Bang - gra kościana</t>
  </si>
  <si>
    <t xml:space="preserve">3 do 8</t>
  </si>
  <si>
    <t xml:space="preserve">Rafał M</t>
  </si>
  <si>
    <t xml:space="preserve">Carcassone Big Box</t>
  </si>
  <si>
    <t xml:space="preserve">2 do 5</t>
  </si>
  <si>
    <t xml:space="preserve">Przemek Ch.</t>
  </si>
  <si>
    <t xml:space="preserve">gra podstawowa + 11 dodatków</t>
  </si>
  <si>
    <t xml:space="preserve">Ciekawa gra, z rozszerzeniem nawet dla 8 graczy</t>
  </si>
  <si>
    <t xml:space="preserve">Warto zakupić Big Box - rozgrywka o wiele ciekawsza dzięki dodatkom</t>
  </si>
  <si>
    <t xml:space="preserve">4 do 9 </t>
  </si>
  <si>
    <t xml:space="preserve">Ciężarówką przez galaktykę</t>
  </si>
  <si>
    <t xml:space="preserve">Zręcznosciowa</t>
  </si>
  <si>
    <t xml:space="preserve">2 do 4</t>
  </si>
  <si>
    <t xml:space="preserve">standard american (56 x 87 mm): 60 szt</t>
  </si>
  <si>
    <t xml:space="preserve">2 do 6</t>
  </si>
  <si>
    <t xml:space="preserve">standard ccg (64x89) - 132 szt.</t>
  </si>
  <si>
    <t xml:space="preserve">usa (57,5x89) - 49 szt.</t>
  </si>
  <si>
    <t xml:space="preserve">Czarne historie Biuro</t>
  </si>
  <si>
    <t xml:space="preserve">2 do 15</t>
  </si>
  <si>
    <t xml:space="preserve">Błażej B</t>
  </si>
  <si>
    <t xml:space="preserve">Dixit 7: Wizje</t>
  </si>
  <si>
    <t xml:space="preserve">2 do 12</t>
  </si>
  <si>
    <t xml:space="preserve"> (80x120) - 84 szt.</t>
  </si>
  <si>
    <t xml:space="preserve">Dixit 8: Harmonia</t>
  </si>
  <si>
    <t xml:space="preserve">Dixit Oddysey</t>
  </si>
  <si>
    <t xml:space="preserve">2 do 8 osób</t>
  </si>
  <si>
    <t xml:space="preserve">Ważne, żeby kupić wersję rozszerzoną; rewelacyjna gra !!!! proszę o głosy</t>
  </si>
  <si>
    <t xml:space="preserve">Zgadzam się w pełni :)</t>
  </si>
  <si>
    <t xml:space="preserve">Dixit Odyssey = 12 osób</t>
  </si>
  <si>
    <t xml:space="preserve">2 do 8</t>
  </si>
  <si>
    <t xml:space="preserve">mini european (45 x 68 mm): 108 szt</t>
  </si>
  <si>
    <t xml:space="preserve">1 do 5</t>
  </si>
  <si>
    <t xml:space="preserve">ciekawa kooperacyjna gra polegająca na rozbrajaniu bomb</t>
  </si>
  <si>
    <t xml:space="preserve">Gra o tron (2 edycja)</t>
  </si>
  <si>
    <t xml:space="preserve">3 do 6  osób</t>
  </si>
  <si>
    <r>
      <rPr>
        <sz val="8"/>
        <color rgb="FFFF00FF"/>
        <rFont val="Arial"/>
        <family val="0"/>
        <charset val="1"/>
      </rPr>
      <t xml:space="preserve">mini american (41x63) - 50 szt.</t>
    </r>
    <r>
      <rPr>
        <sz val="8"/>
        <color rgb="FF00FF00"/>
        <rFont val="Arial"/>
        <family val="0"/>
        <charset val="1"/>
      </rPr>
      <t xml:space="preserve"> </t>
    </r>
    <r>
      <rPr>
        <sz val="8"/>
        <color rgb="FF666666"/>
        <rFont val="Arial"/>
        <family val="0"/>
        <charset val="1"/>
      </rPr>
      <t xml:space="preserve">oraz</t>
    </r>
    <r>
      <rPr>
        <sz val="8"/>
        <color rgb="FFFF0000"/>
        <rFont val="Arial"/>
        <family val="0"/>
        <charset val="1"/>
      </rPr>
      <t xml:space="preserve"> usa (57,5x89) - 100 szt.</t>
    </r>
  </si>
  <si>
    <t xml:space="preserve">Horror w Arkham</t>
  </si>
  <si>
    <t xml:space="preserve">Przygodowa</t>
  </si>
  <si>
    <t xml:space="preserve">1 do 8</t>
  </si>
  <si>
    <t xml:space="preserve">Piotrek D</t>
  </si>
  <si>
    <t xml:space="preserve">Propozycja</t>
  </si>
  <si>
    <t xml:space="preserve">I know!</t>
  </si>
  <si>
    <t xml:space="preserve">Logiczna</t>
  </si>
  <si>
    <t xml:space="preserve">2 do 4 osób</t>
  </si>
  <si>
    <t xml:space="preserve">Jenga</t>
  </si>
  <si>
    <t xml:space="preserve">2 do 20 osób</t>
  </si>
  <si>
    <t xml:space="preserve">Ciekawa zręcznościowa gra</t>
  </si>
  <si>
    <t xml:space="preserve">Karty gentlemanów</t>
  </si>
  <si>
    <t xml:space="preserve">42,50 za zestaw (4 rozne)</t>
  </si>
  <si>
    <t xml:space="preserve">Sebastian P.</t>
  </si>
  <si>
    <t xml:space="preserve">Polecam bardzo bo jest nieziemsko śmieszna! :)</t>
  </si>
  <si>
    <t xml:space="preserve">Potwierdzam</t>
  </si>
  <si>
    <t xml:space="preserve">takkkkkkkkk :)</t>
  </si>
  <si>
    <r>
      <rPr>
        <sz val="8"/>
        <color rgb="FF000000"/>
        <rFont val="Arial"/>
        <family val="0"/>
        <charset val="1"/>
      </rPr>
      <t xml:space="preserve">standard american (56 x 87 mm): 55 szt, </t>
    </r>
    <r>
      <rPr>
        <sz val="8"/>
        <color rgb="FFFF00FF"/>
        <rFont val="Arial"/>
        <family val="0"/>
        <charset val="1"/>
      </rPr>
      <t xml:space="preserve">mini american (41 x 63 mm): 76 szt, </t>
    </r>
  </si>
  <si>
    <t xml:space="preserve">Koszulki do gier</t>
  </si>
  <si>
    <t xml:space="preserve">???</t>
  </si>
  <si>
    <t xml:space="preserve">Ligretto</t>
  </si>
  <si>
    <t xml:space="preserve">2 do 4  osób</t>
  </si>
  <si>
    <t xml:space="preserve">Linie lotnicze</t>
  </si>
  <si>
    <t xml:space="preserve">2 do 5 osób</t>
  </si>
  <si>
    <t xml:space="preserve">7 do 22</t>
  </si>
  <si>
    <t xml:space="preserve">Magda K.</t>
  </si>
  <si>
    <t xml:space="preserve">Mamy szpiega 2</t>
  </si>
  <si>
    <t xml:space="preserve">3 do 8  osób</t>
  </si>
  <si>
    <t xml:space="preserve">standard ccg (64x89) - 240 szt.</t>
  </si>
  <si>
    <t xml:space="preserve">To lub Mamy Szpiega 2 (dla 12 osób)</t>
  </si>
  <si>
    <t xml:space="preserve">Bitewna</t>
  </si>
  <si>
    <t xml:space="preserve">(80 x 120 mm): 72 szt</t>
  </si>
  <si>
    <t xml:space="preserve">Munchkin</t>
  </si>
  <si>
    <t xml:space="preserve">3 do 6</t>
  </si>
  <si>
    <t xml:space="preserve">Marcin O</t>
  </si>
  <si>
    <t xml:space="preserve">Munchkin 2 Wielosieczny Topór</t>
  </si>
  <si>
    <t xml:space="preserve">Munchkin 3 Kardynalne Błędy</t>
  </si>
  <si>
    <t xml:space="preserve">Pandemia</t>
  </si>
  <si>
    <t xml:space="preserve">Pędzące żółwie</t>
  </si>
  <si>
    <t xml:space="preserve">2 do 5 </t>
  </si>
  <si>
    <t xml:space="preserve">mini european (45 x 68 mm): 52 szt</t>
  </si>
  <si>
    <t xml:space="preserve">Przebiegłe wielbądy</t>
  </si>
  <si>
    <t xml:space="preserve">Super imprezowa gra, z elementem hazardu</t>
  </si>
  <si>
    <t xml:space="preserve">Rosyjskie Koleje</t>
  </si>
  <si>
    <t xml:space="preserve">1 do 20 osób</t>
  </si>
  <si>
    <t xml:space="preserve">Shogun</t>
  </si>
  <si>
    <t xml:space="preserve">3 do 5</t>
  </si>
  <si>
    <t xml:space="preserve">Smallworld</t>
  </si>
  <si>
    <t xml:space="preserve">standard ccg (64x89) - 90 szt.</t>
  </si>
  <si>
    <t xml:space="preserve">Dobra gra dla początkujących</t>
  </si>
  <si>
    <t xml:space="preserve">classic card game (64 x 89 mm): 222 szt</t>
  </si>
  <si>
    <t xml:space="preserve">Im więcej graczy tym śmieszniej</t>
  </si>
  <si>
    <t xml:space="preserve">Najlepsza gra dla dużej liczby osób</t>
  </si>
  <si>
    <t xml:space="preserve">Terraformacja Marsa</t>
  </si>
  <si>
    <t xml:space="preserve">Timeline Wynalazki</t>
  </si>
  <si>
    <t xml:space="preserve">mini usa (43 x 65 mm) - 109 szt</t>
  </si>
  <si>
    <t xml:space="preserve">Times up </t>
  </si>
  <si>
    <t xml:space="preserve">4 do 12 osób</t>
  </si>
  <si>
    <t xml:space="preserve">Wsiąść do pociągu (Europa)</t>
  </si>
  <si>
    <t xml:space="preserve">standard american (56 x 87 mm): 158 szt</t>
  </si>
  <si>
    <t xml:space="preserve">Zamki Burgundii</t>
  </si>
  <si>
    <t xml:space="preserve">65x100 </t>
  </si>
  <si>
    <t xml:space="preserve">(80x120)</t>
  </si>
  <si>
    <t xml:space="preserve">do kupienia</t>
  </si>
  <si>
    <t xml:space="preserve">mini american (41x63)</t>
  </si>
  <si>
    <t xml:space="preserve">usa (57,5x89)</t>
  </si>
  <si>
    <t xml:space="preserve">standard ccg (64x89)</t>
  </si>
  <si>
    <t xml:space="preserve">do kupienia, ale jest tylko 63.5 x 88</t>
  </si>
  <si>
    <t xml:space="preserve">mini usa (43 x 65 mm)</t>
  </si>
  <si>
    <t xml:space="preserve">standard american (56 x 87 mm)</t>
  </si>
  <si>
    <t xml:space="preserve">usa (57,5x89) </t>
  </si>
  <si>
    <t xml:space="preserve">mini european (45 x 68 mm)</t>
  </si>
  <si>
    <t xml:space="preserve">SUMA</t>
  </si>
  <si>
    <t xml:space="preserve">Zostały koszulki:</t>
  </si>
  <si>
    <t xml:space="preserve">6x</t>
  </si>
  <si>
    <t xml:space="preserve">65x90</t>
  </si>
  <si>
    <t xml:space="preserve">Szeryf</t>
  </si>
  <si>
    <t xml:space="preserve">2x</t>
  </si>
  <si>
    <t xml:space="preserve">65x100</t>
  </si>
  <si>
    <t xml:space="preserve">7 Cudów</t>
  </si>
  <si>
    <t xml:space="preserve">Wsiąść do Pociągu</t>
  </si>
  <si>
    <t xml:space="preserve">1.5x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</si>
</sst>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\-d"/>
    <numFmt numFmtId="166" formatCode="h:mm"/>
    <numFmt numFmtId="167" formatCode="General"/>
    <numFmt numFmtId="168" formatCode="0.0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sz val="11"/>
      <name val="Cambria"/>
      <family val="0"/>
      <charset val="1"/>
    </font>
    <font>
      <sz val="1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1155CC"/>
      <name val="Cambria"/>
      <family val="0"/>
      <charset val="1"/>
    </font>
    <font>
      <b val="true"/>
      <sz val="10"/>
      <name val="Cambria"/>
      <family val="0"/>
      <charset val="1"/>
    </font>
    <font>
      <sz val="8"/>
      <name val="Cambria"/>
      <family val="0"/>
      <charset val="1"/>
    </font>
    <font>
      <sz val="11"/>
      <name val="Czcionka tekstu podstawowego"/>
      <family val="0"/>
      <charset val="1"/>
    </font>
    <font>
      <sz val="8"/>
      <name val="Arial"/>
      <family val="0"/>
      <charset val="1"/>
    </font>
    <font>
      <b val="true"/>
      <sz val="8"/>
      <name val="Cambria"/>
      <family val="0"/>
      <charset val="1"/>
    </font>
    <font>
      <sz val="11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FF0000"/>
      <name val="Arial"/>
      <family val="0"/>
      <charset val="1"/>
    </font>
    <font>
      <sz val="8"/>
      <color rgb="FFFF00FF"/>
      <name val="Arial"/>
      <family val="0"/>
      <charset val="1"/>
    </font>
    <font>
      <sz val="8"/>
      <color rgb="FF00FF00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000000"/>
      <name val="Cambria"/>
      <family val="0"/>
      <charset val="1"/>
    </font>
    <font>
      <sz val="8"/>
      <color rgb="FF000000"/>
      <name val="Inconsolat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BDBDBD"/>
        <bgColor rgb="FFB7B7B7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FFCC00"/>
      </patternFill>
    </fill>
    <fill>
      <patternFill patternType="solid">
        <fgColor rgb="FFF4CCCC"/>
        <bgColor rgb="FFFFF2CC"/>
      </patternFill>
    </fill>
    <fill>
      <patternFill patternType="solid">
        <fgColor rgb="FFFF0000"/>
        <bgColor rgb="FF800000"/>
      </patternFill>
    </fill>
    <fill>
      <patternFill patternType="solid">
        <fgColor rgb="FFB6D7A8"/>
        <bgColor rgb="FFB7E1CD"/>
      </patternFill>
    </fill>
    <fill>
      <patternFill patternType="solid">
        <fgColor rgb="FFFFD966"/>
        <bgColor rgb="FFFFCC00"/>
      </patternFill>
    </fill>
    <fill>
      <patternFill patternType="solid">
        <fgColor rgb="FF6FA8DC"/>
        <bgColor rgb="FF969696"/>
      </patternFill>
    </fill>
    <fill>
      <patternFill patternType="solid">
        <fgColor rgb="FFB45F06"/>
        <bgColor rgb="FF808000"/>
      </patternFill>
    </fill>
    <fill>
      <patternFill patternType="solid">
        <fgColor rgb="FFB7B7B7"/>
        <bgColor rgb="FFBDBDB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BDBDBD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6FA8DC"/>
      <rgbColor rgb="FF993366"/>
      <rgbColor rgb="FFFFF2CC"/>
      <rgbColor rgb="FFF3F3F3"/>
      <rgbColor rgb="FF660066"/>
      <rgbColor rgb="FFFF8080"/>
      <rgbColor rgb="FF1155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D966"/>
      <rgbColor rgb="FFB6D7A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lanszak.pl/pl/p/Azul-PL/3781" TargetMode="External"/><Relationship Id="rId2" Type="http://schemas.openxmlformats.org/officeDocument/2006/relationships/hyperlink" Target="https://planszak.pl/pl/p/Brzdek/3864" TargetMode="External"/><Relationship Id="rId3" Type="http://schemas.openxmlformats.org/officeDocument/2006/relationships/hyperlink" Target="https://planszak.pl/pl/p/Cytadela-nowa-edycja-/3818" TargetMode="External"/><Relationship Id="rId4" Type="http://schemas.openxmlformats.org/officeDocument/2006/relationships/hyperlink" Target="https://planszak.pl/pl/p/Decrypto/3777" TargetMode="External"/><Relationship Id="rId5" Type="http://schemas.openxmlformats.org/officeDocument/2006/relationships/hyperlink" Target="https://planszak.pl/pl/p/Diuna-Imperium-Dune-edycja-polska-/4462" TargetMode="External"/><Relationship Id="rId6" Type="http://schemas.openxmlformats.org/officeDocument/2006/relationships/hyperlink" Target="https://planszak.pl/pl/p/Eksplodujace-Kotki/3714" TargetMode="External"/><Relationship Id="rId7" Type="http://schemas.openxmlformats.org/officeDocument/2006/relationships/hyperlink" Target="https://planszak.pl/pl/p/Fasolki-Bohnanza-nowa-edycja-2017/3750" TargetMode="External"/><Relationship Id="rId8" Type="http://schemas.openxmlformats.org/officeDocument/2006/relationships/hyperlink" Target="https://planszak.pl/pl/p/Na-skrzydlach-/3950" TargetMode="External"/><Relationship Id="rId9" Type="http://schemas.openxmlformats.org/officeDocument/2006/relationships/hyperlink" Target="https://planszak.pl/pl/p/Root/4029" TargetMode="External"/><Relationship Id="rId10" Type="http://schemas.openxmlformats.org/officeDocument/2006/relationships/hyperlink" Target="https://planszak.pl/pl/p/Scythe-edycja-polska/3615" TargetMode="External"/><Relationship Id="rId11" Type="http://schemas.openxmlformats.org/officeDocument/2006/relationships/hyperlink" Target="https://planszak.pl/pl/p/Spirit-Island-edycja-polska/4254" TargetMode="External"/><Relationship Id="rId12" Type="http://schemas.openxmlformats.org/officeDocument/2006/relationships/hyperlink" Target="https://www.sleeveyourgames.com/sleeves/2125/scythe" TargetMode="External"/><Relationship Id="rId13" Type="http://schemas.openxmlformats.org/officeDocument/2006/relationships/hyperlink" Target="https://www.sleeveyourgames.com/sleeves/3777/decrypto" TargetMode="External"/><Relationship Id="rId14" Type="http://schemas.openxmlformats.org/officeDocument/2006/relationships/hyperlink" Target="https://www.sleeveyourgames.com/sleeves/838/exploding-kittens" TargetMode="External"/><Relationship Id="rId15" Type="http://schemas.openxmlformats.org/officeDocument/2006/relationships/hyperlink" Target="https://www.sleeveyourgames.com/sleeves/456/citadels" TargetMode="External"/><Relationship Id="rId16" Type="http://schemas.openxmlformats.org/officeDocument/2006/relationships/hyperlink" Target="https://www.sleeveyourgames.com/sleeves/3453/wingspan" TargetMode="External"/><Relationship Id="rId17" Type="http://schemas.openxmlformats.org/officeDocument/2006/relationships/hyperlink" Target="https://www.sleeveyourgames.com/sleeves/314/bohnanza" TargetMode="External"/><Relationship Id="rId18" Type="http://schemas.openxmlformats.org/officeDocument/2006/relationships/hyperlink" Target="https://www.sleeveyourgames.com/sleeves/466/clank-a-deckbuilding-adventure" TargetMode="External"/><Relationship Id="rId19" Type="http://schemas.openxmlformats.org/officeDocument/2006/relationships/hyperlink" Target="https://www.sleeveyourgames.com/sleeves/7149/dune-imperium" TargetMode="External"/><Relationship Id="rId20" Type="http://schemas.openxmlformats.org/officeDocument/2006/relationships/hyperlink" Target="https://www.sleeveyourgames.com/sleeves/2937/root" TargetMode="External"/><Relationship Id="rId21" Type="http://schemas.openxmlformats.org/officeDocument/2006/relationships/hyperlink" Target="https://www.sleeveyourgames.com/sleeves/2281/spirit-island" TargetMode="External"/><Relationship Id="rId22" Type="http://schemas.openxmlformats.org/officeDocument/2006/relationships/hyperlink" Target="https://planszak.pl/pl/p/SLOYCA-Koszulki-Mini-European-44x68mm-100-szt./4253" TargetMode="External"/><Relationship Id="rId23" Type="http://schemas.openxmlformats.org/officeDocument/2006/relationships/hyperlink" Target="https://planszak.pl/pl/p/SLOYCA-Koszulki-Standard-American-56x87mm-100-szt./4316" TargetMode="External"/><Relationship Id="rId24" Type="http://schemas.openxmlformats.org/officeDocument/2006/relationships/hyperlink" Target="https://planszak.pl/pl/p/Koszulki-na-karty-Rebel-57%2C5x89-mm-Standard-American%2C-100-sztuk-/3530" TargetMode="External"/><Relationship Id="rId25" Type="http://schemas.openxmlformats.org/officeDocument/2006/relationships/hyperlink" Target="https://planszak.pl/pl/p/Koszulki-SLOYCA-Standard-CCG-63%2C5-x-88-mm-100-szt./3945" TargetMode="External"/><Relationship Id="rId26" Type="http://schemas.openxmlformats.org/officeDocument/2006/relationships/hyperlink" Target="https://planszak.pl/pl/p/Koszulki-na-karty-Rebel-70x110-mm-Kraken%2C-100-sztuk-/3542" TargetMode="External"/><Relationship Id="rId27" Type="http://schemas.openxmlformats.org/officeDocument/2006/relationships/hyperlink" Target="https://planszak.pl/pl/p/Koszulki-na-karty-Rebel-70x120-mm-Tarot%2C-100-sztuk-/3543" TargetMode="External"/><Relationship Id="rId28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oszulki.rebel.pl/szukaj/56x87mm-standard-american.html" TargetMode="External"/><Relationship Id="rId2" Type="http://schemas.openxmlformats.org/officeDocument/2006/relationships/hyperlink" Target="https://www.rebel.pl/e4u.php/1,ModProducts/AdvancedSearch?advanced%5Bsubmit%5D=1&amp;advanced%5BID_CATEGORY%5D=5285&amp;advanced%5Bphrase%5D=57,5x89" TargetMode="External"/><Relationship Id="rId3" Type="http://schemas.openxmlformats.org/officeDocument/2006/relationships/hyperlink" Target="https://koszulki.rebel.pl/szukaj/45x68mm-mini-european.html" TargetMode="External"/><Relationship Id="rId4" Type="http://schemas.openxmlformats.org/officeDocument/2006/relationships/hyperlink" Target="https://koszulki.rebel.pl/szukaj/45x68mm-mini-european.html" TargetMode="External"/><Relationship Id="rId5" Type="http://schemas.openxmlformats.org/officeDocument/2006/relationships/hyperlink" Target="https://www.rebel.pl/e4u.php/1,ModProducts/AdvancedSearch?advanced%5Bsubmit%5D=1&amp;advanced%5BID_CATEGORY%5D=5285&amp;advanced%5Bphrase%5D=64x89" TargetMode="External"/><Relationship Id="rId6" Type="http://schemas.openxmlformats.org/officeDocument/2006/relationships/hyperlink" Target="https://koszulki.rebel.pl/szukaj/64x89mm-classic-card-game.html" TargetMode="External"/><Relationship Id="rId7" Type="http://schemas.openxmlformats.org/officeDocument/2006/relationships/hyperlink" Target="https://koszulki.rebel.pl/szukaj/56x87mm-standard-american.html" TargetMode="External"/><Relationship Id="rId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I14" activeCellId="0" sqref="I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75"/>
    <col collapsed="false" customWidth="true" hidden="false" outlineLevel="0" max="2" min="2" style="1" width="14.38"/>
    <col collapsed="false" customWidth="true" hidden="false" outlineLevel="0" max="5" min="3" style="1" width="16.5"/>
  </cols>
  <sheetData>
    <row r="1" customFormat="false" ht="26.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15.75" hidden="false" customHeight="false" outlineLevel="0" collapsed="false">
      <c r="A2" s="5" t="s">
        <v>5</v>
      </c>
      <c r="B2" s="6" t="s">
        <v>6</v>
      </c>
      <c r="C2" s="7" t="n">
        <v>0.0208333333333333</v>
      </c>
      <c r="D2" s="8" t="s">
        <v>7</v>
      </c>
      <c r="E2" s="8" t="s">
        <v>8</v>
      </c>
    </row>
    <row r="3" customFormat="false" ht="15.75" hidden="false" customHeight="false" outlineLevel="0" collapsed="false">
      <c r="A3" s="9" t="s">
        <v>9</v>
      </c>
      <c r="B3" s="10" t="s">
        <v>10</v>
      </c>
      <c r="C3" s="11" t="n">
        <v>0.0208333333333333</v>
      </c>
      <c r="D3" s="12" t="s">
        <v>11</v>
      </c>
      <c r="E3" s="12" t="s">
        <v>12</v>
      </c>
    </row>
    <row r="4" customFormat="false" ht="15.75" hidden="false" customHeight="false" outlineLevel="0" collapsed="false">
      <c r="A4" s="5" t="s">
        <v>13</v>
      </c>
      <c r="B4" s="13" t="n">
        <v>2</v>
      </c>
      <c r="C4" s="7" t="n">
        <v>0.0416666666666667</v>
      </c>
      <c r="D4" s="8" t="s">
        <v>7</v>
      </c>
      <c r="E4" s="8" t="s">
        <v>14</v>
      </c>
    </row>
    <row r="5" customFormat="false" ht="15.75" hidden="false" customHeight="false" outlineLevel="0" collapsed="false">
      <c r="A5" s="9" t="s">
        <v>15</v>
      </c>
      <c r="B5" s="10" t="s">
        <v>16</v>
      </c>
      <c r="C5" s="11" t="n">
        <v>0.0208333333333333</v>
      </c>
      <c r="D5" s="12" t="s">
        <v>7</v>
      </c>
      <c r="E5" s="12" t="s">
        <v>17</v>
      </c>
    </row>
    <row r="6" customFormat="false" ht="15.75" hidden="false" customHeight="false" outlineLevel="0" collapsed="false">
      <c r="A6" s="5" t="s">
        <v>18</v>
      </c>
      <c r="B6" s="13" t="n">
        <v>2</v>
      </c>
      <c r="C6" s="7" t="n">
        <v>0.0208333333333333</v>
      </c>
      <c r="D6" s="8" t="s">
        <v>7</v>
      </c>
      <c r="E6" s="8" t="s">
        <v>19</v>
      </c>
    </row>
    <row r="7" customFormat="false" ht="15.75" hidden="false" customHeight="false" outlineLevel="0" collapsed="false">
      <c r="A7" s="9" t="s">
        <v>20</v>
      </c>
      <c r="B7" s="10" t="s">
        <v>16</v>
      </c>
      <c r="C7" s="11" t="n">
        <v>0.0416666666666667</v>
      </c>
      <c r="D7" s="12" t="s">
        <v>7</v>
      </c>
      <c r="E7" s="12" t="s">
        <v>21</v>
      </c>
    </row>
    <row r="8" customFormat="false" ht="15.75" hidden="false" customHeight="false" outlineLevel="0" collapsed="false">
      <c r="A8" s="5" t="s">
        <v>22</v>
      </c>
      <c r="B8" s="6" t="s">
        <v>23</v>
      </c>
      <c r="C8" s="7" t="n">
        <v>0.03125</v>
      </c>
      <c r="D8" s="8" t="s">
        <v>7</v>
      </c>
      <c r="E8" s="8" t="s">
        <v>24</v>
      </c>
    </row>
    <row r="9" customFormat="false" ht="15.75" hidden="false" customHeight="false" outlineLevel="0" collapsed="false">
      <c r="A9" s="9" t="s">
        <v>25</v>
      </c>
      <c r="B9" s="10" t="s">
        <v>26</v>
      </c>
      <c r="C9" s="11" t="n">
        <v>0.0208333333333333</v>
      </c>
      <c r="D9" s="12" t="s">
        <v>27</v>
      </c>
      <c r="E9" s="12" t="s">
        <v>28</v>
      </c>
    </row>
    <row r="10" customFormat="false" ht="15.75" hidden="false" customHeight="false" outlineLevel="0" collapsed="false">
      <c r="A10" s="5" t="s">
        <v>29</v>
      </c>
      <c r="B10" s="6" t="s">
        <v>23</v>
      </c>
      <c r="C10" s="7" t="n">
        <v>0.0277777777777778</v>
      </c>
      <c r="D10" s="8" t="s">
        <v>11</v>
      </c>
      <c r="E10" s="8" t="s">
        <v>30</v>
      </c>
    </row>
    <row r="11" customFormat="false" ht="15.75" hidden="false" customHeight="false" outlineLevel="0" collapsed="false">
      <c r="A11" s="9" t="s">
        <v>31</v>
      </c>
      <c r="B11" s="10" t="s">
        <v>32</v>
      </c>
      <c r="C11" s="11" t="n">
        <v>0.0625</v>
      </c>
      <c r="D11" s="12" t="s">
        <v>11</v>
      </c>
      <c r="E11" s="12" t="s">
        <v>33</v>
      </c>
    </row>
    <row r="12" customFormat="false" ht="15.75" hidden="false" customHeight="false" outlineLevel="0" collapsed="false">
      <c r="A12" s="5" t="s">
        <v>34</v>
      </c>
      <c r="B12" s="6" t="s">
        <v>26</v>
      </c>
      <c r="C12" s="7" t="n">
        <v>0.0416666666666667</v>
      </c>
      <c r="D12" s="8" t="s">
        <v>7</v>
      </c>
      <c r="E12" s="8" t="s">
        <v>35</v>
      </c>
    </row>
    <row r="13" customFormat="false" ht="15.75" hidden="false" customHeight="false" outlineLevel="0" collapsed="false">
      <c r="A13" s="9" t="s">
        <v>36</v>
      </c>
      <c r="B13" s="10" t="s">
        <v>37</v>
      </c>
      <c r="C13" s="11" t="n">
        <v>0.0138888888888889</v>
      </c>
      <c r="D13" s="12" t="s">
        <v>27</v>
      </c>
      <c r="E13" s="12" t="s">
        <v>38</v>
      </c>
    </row>
    <row r="14" customFormat="false" ht="15.75" hidden="false" customHeight="false" outlineLevel="0" collapsed="false">
      <c r="A14" s="5" t="s">
        <v>39</v>
      </c>
      <c r="B14" s="14" t="s">
        <v>40</v>
      </c>
      <c r="C14" s="7" t="n">
        <v>0.0208333333333333</v>
      </c>
      <c r="D14" s="8" t="s">
        <v>7</v>
      </c>
      <c r="E14" s="8" t="s">
        <v>41</v>
      </c>
    </row>
    <row r="15" customFormat="false" ht="15.75" hidden="false" customHeight="false" outlineLevel="0" collapsed="false">
      <c r="A15" s="9" t="s">
        <v>42</v>
      </c>
      <c r="B15" s="10" t="s">
        <v>43</v>
      </c>
      <c r="C15" s="11" t="n">
        <v>0.0833333333333333</v>
      </c>
      <c r="D15" s="12" t="s">
        <v>11</v>
      </c>
      <c r="E15" s="12" t="s">
        <v>44</v>
      </c>
    </row>
    <row r="16" customFormat="false" ht="15.75" hidden="false" customHeight="false" outlineLevel="0" collapsed="false">
      <c r="A16" s="5" t="s">
        <v>45</v>
      </c>
      <c r="B16" s="6" t="s">
        <v>46</v>
      </c>
      <c r="C16" s="7" t="n">
        <v>0.0208333333333333</v>
      </c>
      <c r="D16" s="8" t="s">
        <v>7</v>
      </c>
      <c r="E16" s="8" t="s">
        <v>47</v>
      </c>
    </row>
    <row r="17" customFormat="false" ht="15.75" hidden="false" customHeight="false" outlineLevel="0" collapsed="false">
      <c r="A17" s="9" t="s">
        <v>48</v>
      </c>
      <c r="B17" s="10" t="s">
        <v>26</v>
      </c>
      <c r="C17" s="11" t="n">
        <v>0.0104166666666667</v>
      </c>
      <c r="D17" s="12" t="s">
        <v>49</v>
      </c>
      <c r="E17" s="12" t="s">
        <v>50</v>
      </c>
    </row>
    <row r="18" customFormat="false" ht="15.75" hidden="false" customHeight="false" outlineLevel="0" collapsed="false">
      <c r="A18" s="5" t="s">
        <v>51</v>
      </c>
      <c r="B18" s="6" t="s">
        <v>16</v>
      </c>
      <c r="C18" s="7" t="n">
        <v>0.0208333333333333</v>
      </c>
      <c r="D18" s="8" t="s">
        <v>7</v>
      </c>
      <c r="E18" s="8" t="s">
        <v>52</v>
      </c>
    </row>
    <row r="19" customFormat="false" ht="15.75" hidden="false" customHeight="false" outlineLevel="0" collapsed="false">
      <c r="A19" s="9" t="s">
        <v>53</v>
      </c>
      <c r="B19" s="10" t="s">
        <v>32</v>
      </c>
      <c r="C19" s="11" t="n">
        <v>0.0104166666666667</v>
      </c>
      <c r="D19" s="12" t="s">
        <v>7</v>
      </c>
      <c r="E19" s="12" t="s">
        <v>54</v>
      </c>
    </row>
    <row r="20" customFormat="false" ht="15.75" hidden="false" customHeight="false" outlineLevel="0" collapsed="false">
      <c r="A20" s="5" t="s">
        <v>55</v>
      </c>
      <c r="B20" s="6" t="s">
        <v>10</v>
      </c>
      <c r="C20" s="7" t="n">
        <v>0.03125</v>
      </c>
      <c r="D20" s="8" t="s">
        <v>7</v>
      </c>
      <c r="E20" s="8" t="s">
        <v>56</v>
      </c>
    </row>
    <row r="21" customFormat="false" ht="15.75" hidden="false" customHeight="false" outlineLevel="0" collapsed="false">
      <c r="A21" s="9" t="s">
        <v>57</v>
      </c>
      <c r="B21" s="10" t="s">
        <v>58</v>
      </c>
      <c r="C21" s="11" t="n">
        <v>0.00694444444444444</v>
      </c>
      <c r="D21" s="12" t="s">
        <v>7</v>
      </c>
      <c r="E21" s="12" t="s">
        <v>59</v>
      </c>
    </row>
    <row r="22" customFormat="false" ht="15.75" hidden="false" customHeight="false" outlineLevel="0" collapsed="false">
      <c r="A22" s="5" t="s">
        <v>60</v>
      </c>
      <c r="B22" s="6" t="s">
        <v>61</v>
      </c>
      <c r="C22" s="7" t="n">
        <v>0.125</v>
      </c>
      <c r="D22" s="8" t="s">
        <v>11</v>
      </c>
      <c r="E22" s="8" t="s">
        <v>62</v>
      </c>
    </row>
    <row r="23" customFormat="false" ht="15.75" hidden="false" customHeight="false" outlineLevel="0" collapsed="false">
      <c r="A23" s="9" t="s">
        <v>63</v>
      </c>
      <c r="B23" s="10" t="s">
        <v>23</v>
      </c>
      <c r="C23" s="11" t="n">
        <v>0.0416666666666667</v>
      </c>
      <c r="D23" s="12" t="s">
        <v>64</v>
      </c>
      <c r="E23" s="12" t="s">
        <v>65</v>
      </c>
    </row>
    <row r="24" customFormat="false" ht="15.75" hidden="false" customHeight="false" outlineLevel="0" collapsed="false">
      <c r="A24" s="5" t="s">
        <v>66</v>
      </c>
      <c r="B24" s="6" t="s">
        <v>26</v>
      </c>
      <c r="C24" s="7" t="n">
        <v>0.00694444444444444</v>
      </c>
      <c r="D24" s="8" t="s">
        <v>49</v>
      </c>
      <c r="E24" s="8" t="s">
        <v>67</v>
      </c>
    </row>
    <row r="25" customFormat="false" ht="15.75" hidden="false" customHeight="false" outlineLevel="0" collapsed="false">
      <c r="A25" s="9" t="s">
        <v>68</v>
      </c>
      <c r="B25" s="15" t="s">
        <v>69</v>
      </c>
      <c r="C25" s="15" t="s">
        <v>70</v>
      </c>
      <c r="D25" s="16" t="s">
        <v>7</v>
      </c>
      <c r="E25" s="16" t="s">
        <v>7</v>
      </c>
    </row>
    <row r="26" customFormat="false" ht="15.75" hidden="false" customHeight="false" outlineLevel="0" collapsed="false">
      <c r="A26" s="5" t="s">
        <v>71</v>
      </c>
      <c r="B26" s="6" t="s">
        <v>72</v>
      </c>
      <c r="C26" s="7" t="n">
        <v>0.03125</v>
      </c>
      <c r="D26" s="8" t="s">
        <v>27</v>
      </c>
      <c r="E26" s="8" t="s">
        <v>73</v>
      </c>
    </row>
    <row r="27" customFormat="false" ht="15.75" hidden="false" customHeight="false" outlineLevel="0" collapsed="false">
      <c r="A27" s="9" t="s">
        <v>74</v>
      </c>
      <c r="B27" s="10" t="s">
        <v>32</v>
      </c>
      <c r="C27" s="11" t="n">
        <v>0.0416666666666667</v>
      </c>
      <c r="D27" s="12" t="s">
        <v>7</v>
      </c>
      <c r="E27" s="12" t="s">
        <v>75</v>
      </c>
    </row>
    <row r="28" customFormat="false" ht="15.75" hidden="false" customHeight="false" outlineLevel="0" collapsed="false">
      <c r="A28" s="5" t="s">
        <v>76</v>
      </c>
      <c r="B28" s="6" t="s">
        <v>77</v>
      </c>
      <c r="C28" s="7" t="n">
        <v>0.0208333333333333</v>
      </c>
      <c r="D28" s="8" t="s">
        <v>27</v>
      </c>
      <c r="E28" s="8" t="s">
        <v>78</v>
      </c>
    </row>
    <row r="29" customFormat="false" ht="15.75" hidden="false" customHeight="false" outlineLevel="0" collapsed="false">
      <c r="A29" s="9" t="s">
        <v>79</v>
      </c>
      <c r="B29" s="10" t="s">
        <v>46</v>
      </c>
      <c r="C29" s="11" t="n">
        <v>0.0104166666666667</v>
      </c>
      <c r="D29" s="12" t="s">
        <v>27</v>
      </c>
      <c r="E29" s="12" t="s">
        <v>80</v>
      </c>
    </row>
    <row r="30" customFormat="false" ht="15.75" hidden="false" customHeight="false" outlineLevel="0" collapsed="false">
      <c r="A30" s="5" t="s">
        <v>81</v>
      </c>
      <c r="B30" s="6" t="s">
        <v>26</v>
      </c>
      <c r="C30" s="7" t="n">
        <v>0.0208333333333333</v>
      </c>
      <c r="D30" s="8" t="s">
        <v>7</v>
      </c>
      <c r="E30" s="8" t="s">
        <v>82</v>
      </c>
    </row>
    <row r="31" customFormat="false" ht="15.75" hidden="false" customHeight="false" outlineLevel="0" collapsed="false">
      <c r="A31" s="9" t="s">
        <v>83</v>
      </c>
      <c r="B31" s="10" t="s">
        <v>58</v>
      </c>
      <c r="C31" s="11" t="n">
        <v>0.0416666666666667</v>
      </c>
      <c r="D31" s="12" t="s">
        <v>7</v>
      </c>
      <c r="E31" s="12" t="s">
        <v>84</v>
      </c>
    </row>
    <row r="32" customFormat="false" ht="15.75" hidden="false" customHeight="false" outlineLevel="0" collapsed="false">
      <c r="A32" s="5" t="s">
        <v>85</v>
      </c>
      <c r="B32" s="6" t="s">
        <v>86</v>
      </c>
      <c r="C32" s="7" t="n">
        <v>0.0625</v>
      </c>
      <c r="D32" s="8" t="s">
        <v>7</v>
      </c>
      <c r="E32" s="8" t="s">
        <v>87</v>
      </c>
    </row>
    <row r="33" customFormat="false" ht="15.75" hidden="false" customHeight="false" outlineLevel="0" collapsed="false">
      <c r="A33" s="9" t="s">
        <v>88</v>
      </c>
      <c r="B33" s="10" t="s">
        <v>32</v>
      </c>
      <c r="C33" s="11" t="n">
        <v>0.0138888888888889</v>
      </c>
      <c r="D33" s="12" t="s">
        <v>7</v>
      </c>
      <c r="E33" s="12" t="s">
        <v>89</v>
      </c>
    </row>
    <row r="34" customFormat="false" ht="15.75" hidden="false" customHeight="false" outlineLevel="0" collapsed="false">
      <c r="A34" s="5" t="s">
        <v>90</v>
      </c>
      <c r="B34" s="6" t="s">
        <v>26</v>
      </c>
      <c r="C34" s="7" t="n">
        <v>0.0208333333333333</v>
      </c>
      <c r="D34" s="8" t="s">
        <v>7</v>
      </c>
      <c r="E34" s="8" t="s">
        <v>91</v>
      </c>
    </row>
    <row r="35" customFormat="false" ht="15.75" hidden="false" customHeight="false" outlineLevel="0" collapsed="false">
      <c r="A35" s="9" t="s">
        <v>92</v>
      </c>
      <c r="B35" s="10" t="s">
        <v>16</v>
      </c>
      <c r="C35" s="11" t="n">
        <v>0.0625</v>
      </c>
      <c r="D35" s="12" t="s">
        <v>11</v>
      </c>
      <c r="E35" s="12" t="s">
        <v>93</v>
      </c>
    </row>
    <row r="36" customFormat="false" ht="15.75" hidden="false" customHeight="false" outlineLevel="0" collapsed="false">
      <c r="A36" s="5" t="s">
        <v>94</v>
      </c>
      <c r="B36" s="6" t="s">
        <v>95</v>
      </c>
      <c r="C36" s="7" t="n">
        <v>0.0208333333333333</v>
      </c>
      <c r="D36" s="8" t="s">
        <v>27</v>
      </c>
      <c r="E36" s="8" t="s">
        <v>96</v>
      </c>
    </row>
    <row r="37" customFormat="false" ht="15.75" hidden="false" customHeight="false" outlineLevel="0" collapsed="false">
      <c r="A37" s="9" t="s">
        <v>97</v>
      </c>
      <c r="B37" s="17" t="s">
        <v>16</v>
      </c>
      <c r="C37" s="11" t="n">
        <v>0.0625</v>
      </c>
      <c r="D37" s="12" t="s">
        <v>7</v>
      </c>
      <c r="E37" s="12" t="s">
        <v>98</v>
      </c>
    </row>
    <row r="38" customFormat="false" ht="15.75" hidden="false" customHeight="false" outlineLevel="0" collapsed="false">
      <c r="A38" s="5" t="s">
        <v>99</v>
      </c>
      <c r="B38" s="6" t="s">
        <v>58</v>
      </c>
      <c r="C38" s="7" t="n">
        <v>0.0833333333333333</v>
      </c>
      <c r="D38" s="8" t="s">
        <v>11</v>
      </c>
      <c r="E38" s="8" t="s">
        <v>100</v>
      </c>
    </row>
    <row r="39" customFormat="false" ht="15.75" hidden="false" customHeight="false" outlineLevel="0" collapsed="false">
      <c r="A39" s="9" t="s">
        <v>101</v>
      </c>
      <c r="B39" s="15" t="s">
        <v>102</v>
      </c>
      <c r="C39" s="11" t="n">
        <v>0.0208333333333333</v>
      </c>
      <c r="D39" s="12" t="s">
        <v>7</v>
      </c>
      <c r="E39" s="12" t="s">
        <v>103</v>
      </c>
    </row>
    <row r="40" customFormat="false" ht="15.75" hidden="false" customHeight="false" outlineLevel="0" collapsed="false">
      <c r="A40" s="5" t="s">
        <v>104</v>
      </c>
      <c r="B40" s="6" t="s">
        <v>16</v>
      </c>
      <c r="C40" s="7" t="n">
        <v>0.0833333333333333</v>
      </c>
      <c r="D40" s="8" t="s">
        <v>11</v>
      </c>
      <c r="E40" s="8" t="s">
        <v>105</v>
      </c>
    </row>
    <row r="41" customFormat="false" ht="15.75" hidden="false" customHeight="false" outlineLevel="0" collapsed="false">
      <c r="A41" s="9" t="s">
        <v>106</v>
      </c>
      <c r="B41" s="10" t="s">
        <v>16</v>
      </c>
      <c r="C41" s="11" t="n">
        <v>0.0208333333333333</v>
      </c>
      <c r="D41" s="12" t="s">
        <v>7</v>
      </c>
      <c r="E41" s="12" t="s">
        <v>107</v>
      </c>
    </row>
    <row r="42" customFormat="false" ht="15.75" hidden="false" customHeight="false" outlineLevel="0" collapsed="false">
      <c r="A42" s="5" t="s">
        <v>108</v>
      </c>
      <c r="B42" s="14" t="n">
        <v>2</v>
      </c>
      <c r="C42" s="7" t="n">
        <v>0.0208333333333333</v>
      </c>
      <c r="D42" s="8" t="s">
        <v>7</v>
      </c>
      <c r="E42" s="8" t="s">
        <v>109</v>
      </c>
    </row>
    <row r="43" customFormat="false" ht="15.75" hidden="false" customHeight="false" outlineLevel="0" collapsed="false">
      <c r="A43" s="9" t="s">
        <v>110</v>
      </c>
      <c r="B43" s="10" t="s">
        <v>111</v>
      </c>
      <c r="C43" s="11" t="n">
        <v>0.0416666666666667</v>
      </c>
      <c r="D43" s="12" t="s">
        <v>27</v>
      </c>
      <c r="E43" s="12" t="s">
        <v>112</v>
      </c>
    </row>
    <row r="44" customFormat="false" ht="15.75" hidden="false" customHeight="false" outlineLevel="0" collapsed="false">
      <c r="A44" s="5" t="s">
        <v>113</v>
      </c>
      <c r="B44" s="14" t="s">
        <v>102</v>
      </c>
      <c r="C44" s="7" t="n">
        <v>0.0104166666666667</v>
      </c>
      <c r="D44" s="8" t="s">
        <v>7</v>
      </c>
      <c r="E44" s="8" t="s">
        <v>114</v>
      </c>
    </row>
    <row r="45" customFormat="false" ht="15.75" hidden="false" customHeight="false" outlineLevel="0" collapsed="false">
      <c r="A45" s="9" t="s">
        <v>115</v>
      </c>
      <c r="B45" s="10" t="s">
        <v>116</v>
      </c>
      <c r="C45" s="11" t="n">
        <v>0.0208333333333333</v>
      </c>
      <c r="D45" s="12" t="s">
        <v>27</v>
      </c>
      <c r="E45" s="12" t="s">
        <v>117</v>
      </c>
    </row>
    <row r="46" customFormat="false" ht="15.75" hidden="false" customHeight="false" outlineLevel="0" collapsed="false">
      <c r="A46" s="5" t="s">
        <v>118</v>
      </c>
      <c r="B46" s="14" t="s">
        <v>102</v>
      </c>
      <c r="C46" s="7" t="n">
        <v>0.0104166666666667</v>
      </c>
      <c r="D46" s="8" t="s">
        <v>64</v>
      </c>
      <c r="E46" s="8" t="s">
        <v>119</v>
      </c>
    </row>
    <row r="47" customFormat="false" ht="15.75" hidden="false" customHeight="false" outlineLevel="0" collapsed="false">
      <c r="A47" s="9" t="s">
        <v>120</v>
      </c>
      <c r="B47" s="15" t="s">
        <v>102</v>
      </c>
      <c r="C47" s="11" t="n">
        <v>0.0104166666666667</v>
      </c>
      <c r="D47" s="12" t="s">
        <v>64</v>
      </c>
      <c r="E47" s="12" t="s">
        <v>121</v>
      </c>
    </row>
    <row r="48" customFormat="false" ht="15.75" hidden="false" customHeight="false" outlineLevel="0" collapsed="false">
      <c r="A48" s="5" t="s">
        <v>122</v>
      </c>
      <c r="B48" s="6" t="s">
        <v>32</v>
      </c>
      <c r="C48" s="7" t="n">
        <v>0.0416666666666667</v>
      </c>
      <c r="D48" s="8" t="s">
        <v>7</v>
      </c>
      <c r="E48" s="8" t="s">
        <v>123</v>
      </c>
    </row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D48"/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0.38"/>
    <col collapsed="false" customWidth="true" hidden="false" outlineLevel="0" max="2" min="2" style="1" width="12.38"/>
    <col collapsed="false" customWidth="true" hidden="false" outlineLevel="0" max="3" min="3" style="1" width="18.38"/>
    <col collapsed="false" customWidth="true" hidden="false" outlineLevel="0" max="4" min="4" style="1" width="16.25"/>
    <col collapsed="false" customWidth="true" hidden="false" outlineLevel="0" max="5" min="5" style="1" width="13.38"/>
    <col collapsed="false" customWidth="true" hidden="false" outlineLevel="0" max="6" min="6" style="1" width="15.51"/>
    <col collapsed="false" customWidth="true" hidden="false" outlineLevel="0" max="7" min="7" style="1" width="16"/>
  </cols>
  <sheetData>
    <row r="1" customFormat="false" ht="15.75" hidden="false" customHeight="false" outlineLevel="0" collapsed="false">
      <c r="B1" s="18" t="s">
        <v>124</v>
      </c>
      <c r="C1" s="18" t="s">
        <v>125</v>
      </c>
      <c r="D1" s="18" t="s">
        <v>126</v>
      </c>
      <c r="E1" s="18" t="s">
        <v>127</v>
      </c>
      <c r="F1" s="18" t="s">
        <v>128</v>
      </c>
      <c r="G1" s="18" t="s">
        <v>129</v>
      </c>
      <c r="H1" s="18" t="s">
        <v>130</v>
      </c>
    </row>
    <row r="2" customFormat="false" ht="15.75" hidden="false" customHeight="false" outlineLevel="0" collapsed="false">
      <c r="B2" s="18" t="n">
        <v>1</v>
      </c>
      <c r="C2" s="18" t="n">
        <v>10</v>
      </c>
      <c r="D2" s="18" t="s">
        <v>15</v>
      </c>
      <c r="E2" s="18" t="s">
        <v>131</v>
      </c>
      <c r="F2" s="18" t="n">
        <v>159</v>
      </c>
      <c r="G2" s="19" t="n">
        <f aca="false">F2*0.95</f>
        <v>151.05</v>
      </c>
      <c r="H2" s="20" t="s">
        <v>132</v>
      </c>
      <c r="I2" s="21"/>
    </row>
    <row r="3" customFormat="false" ht="15.75" hidden="false" customHeight="false" outlineLevel="0" collapsed="false">
      <c r="B3" s="18" t="n">
        <v>1</v>
      </c>
      <c r="C3" s="18" t="n">
        <v>11</v>
      </c>
      <c r="D3" s="18" t="s">
        <v>20</v>
      </c>
      <c r="E3" s="18" t="s">
        <v>131</v>
      </c>
      <c r="F3" s="18" t="n">
        <v>170</v>
      </c>
      <c r="G3" s="19" t="n">
        <f aca="false">F3*0.95</f>
        <v>161.5</v>
      </c>
      <c r="H3" s="20" t="s">
        <v>133</v>
      </c>
      <c r="I3" s="21"/>
    </row>
    <row r="4" customFormat="false" ht="15.75" hidden="false" customHeight="false" outlineLevel="0" collapsed="false">
      <c r="B4" s="18" t="n">
        <v>1</v>
      </c>
      <c r="C4" s="18" t="n">
        <v>3</v>
      </c>
      <c r="D4" s="18" t="s">
        <v>34</v>
      </c>
      <c r="E4" s="18" t="s">
        <v>131</v>
      </c>
      <c r="F4" s="18" t="n">
        <v>76</v>
      </c>
      <c r="G4" s="19" t="n">
        <f aca="false">F4*0.95</f>
        <v>72.2</v>
      </c>
      <c r="H4" s="20" t="s">
        <v>134</v>
      </c>
      <c r="I4" s="21"/>
    </row>
    <row r="5" customFormat="false" ht="15.75" hidden="false" customHeight="false" outlineLevel="0" collapsed="false">
      <c r="B5" s="18" t="n">
        <v>1</v>
      </c>
      <c r="C5" s="18" t="n">
        <v>1</v>
      </c>
      <c r="D5" s="18" t="s">
        <v>39</v>
      </c>
      <c r="E5" s="18" t="s">
        <v>135</v>
      </c>
      <c r="F5" s="18" t="n">
        <v>63</v>
      </c>
      <c r="G5" s="19" t="n">
        <f aca="false">F5*0.95</f>
        <v>59.85</v>
      </c>
      <c r="H5" s="22" t="s">
        <v>136</v>
      </c>
      <c r="I5" s="21"/>
    </row>
    <row r="6" customFormat="false" ht="15.75" hidden="false" customHeight="false" outlineLevel="0" collapsed="false">
      <c r="B6" s="18" t="n">
        <v>1</v>
      </c>
      <c r="C6" s="18" t="n">
        <v>6</v>
      </c>
      <c r="D6" s="18" t="s">
        <v>42</v>
      </c>
      <c r="E6" s="18" t="s">
        <v>137</v>
      </c>
      <c r="F6" s="18" t="n">
        <v>169</v>
      </c>
      <c r="G6" s="19" t="n">
        <f aca="false">F6*0.95</f>
        <v>160.55</v>
      </c>
      <c r="H6" s="22" t="s">
        <v>138</v>
      </c>
      <c r="I6" s="21"/>
    </row>
    <row r="7" customFormat="false" ht="15.75" hidden="false" customHeight="false" outlineLevel="0" collapsed="false">
      <c r="B7" s="18" t="n">
        <v>1</v>
      </c>
      <c r="C7" s="18" t="n">
        <v>2</v>
      </c>
      <c r="D7" s="18" t="s">
        <v>53</v>
      </c>
      <c r="E7" s="18" t="s">
        <v>135</v>
      </c>
      <c r="F7" s="18" t="n">
        <v>69</v>
      </c>
      <c r="G7" s="19" t="n">
        <f aca="false">F7*0.95</f>
        <v>65.55</v>
      </c>
      <c r="H7" s="20" t="s">
        <v>139</v>
      </c>
      <c r="I7" s="21"/>
    </row>
    <row r="8" customFormat="false" ht="15.75" hidden="false" customHeight="false" outlineLevel="0" collapsed="false">
      <c r="B8" s="18" t="n">
        <v>1</v>
      </c>
      <c r="C8" s="18" t="n">
        <v>8</v>
      </c>
      <c r="D8" s="18" t="s">
        <v>55</v>
      </c>
      <c r="E8" s="18" t="s">
        <v>131</v>
      </c>
      <c r="F8" s="18" t="n">
        <v>43</v>
      </c>
      <c r="G8" s="19" t="n">
        <f aca="false">F8*0.95</f>
        <v>40.85</v>
      </c>
      <c r="H8" s="20" t="s">
        <v>140</v>
      </c>
      <c r="I8" s="21"/>
    </row>
    <row r="9" customFormat="false" ht="15.75" hidden="true" customHeight="false" outlineLevel="0" collapsed="false">
      <c r="B9" s="18" t="n">
        <v>1</v>
      </c>
      <c r="C9" s="18" t="n">
        <v>12</v>
      </c>
      <c r="D9" s="18" t="s">
        <v>141</v>
      </c>
      <c r="E9" s="18"/>
      <c r="F9" s="18" t="n">
        <f aca="false">SUM(D38:K38)</f>
        <v>958</v>
      </c>
      <c r="G9" s="19" t="n">
        <f aca="false">F9</f>
        <v>958</v>
      </c>
      <c r="H9" s="18"/>
      <c r="I9" s="21"/>
    </row>
    <row r="10" customFormat="false" ht="15.75" hidden="false" customHeight="false" outlineLevel="0" collapsed="false">
      <c r="B10" s="18" t="n">
        <v>1</v>
      </c>
      <c r="C10" s="18" t="n">
        <v>5</v>
      </c>
      <c r="D10" s="18" t="s">
        <v>83</v>
      </c>
      <c r="E10" s="18" t="s">
        <v>131</v>
      </c>
      <c r="F10" s="18" t="n">
        <v>155</v>
      </c>
      <c r="G10" s="19" t="n">
        <f aca="false">F10*0.95</f>
        <v>147.25</v>
      </c>
      <c r="H10" s="20" t="s">
        <v>142</v>
      </c>
      <c r="I10" s="21"/>
    </row>
    <row r="11" customFormat="false" ht="15.75" hidden="false" customHeight="false" outlineLevel="0" collapsed="false">
      <c r="B11" s="18" t="n">
        <v>1</v>
      </c>
      <c r="C11" s="18" t="n">
        <v>7</v>
      </c>
      <c r="D11" s="18" t="s">
        <v>92</v>
      </c>
      <c r="E11" s="18" t="s">
        <v>137</v>
      </c>
      <c r="F11" s="18" t="n">
        <v>156</v>
      </c>
      <c r="G11" s="19" t="n">
        <f aca="false">F11*0.95</f>
        <v>148.2</v>
      </c>
      <c r="H11" s="22" t="s">
        <v>143</v>
      </c>
      <c r="I11" s="21"/>
    </row>
    <row r="12" customFormat="false" ht="15.75" hidden="false" customHeight="false" outlineLevel="0" collapsed="false">
      <c r="B12" s="18" t="n">
        <v>1</v>
      </c>
      <c r="C12" s="18" t="n">
        <v>4</v>
      </c>
      <c r="D12" s="18" t="s">
        <v>99</v>
      </c>
      <c r="E12" s="18" t="s">
        <v>144</v>
      </c>
      <c r="F12" s="18" t="n">
        <v>299</v>
      </c>
      <c r="G12" s="19" t="n">
        <f aca="false">F12*0.95</f>
        <v>284.05</v>
      </c>
      <c r="H12" s="22" t="s">
        <v>145</v>
      </c>
      <c r="I12" s="21"/>
    </row>
    <row r="13" customFormat="false" ht="15.75" hidden="false" customHeight="false" outlineLevel="0" collapsed="false">
      <c r="B13" s="18" t="n">
        <v>1</v>
      </c>
      <c r="C13" s="18" t="n">
        <v>9</v>
      </c>
      <c r="D13" s="18" t="s">
        <v>104</v>
      </c>
      <c r="E13" s="18" t="s">
        <v>137</v>
      </c>
      <c r="F13" s="18" t="n">
        <v>216</v>
      </c>
      <c r="G13" s="19" t="n">
        <f aca="false">F13*0.95</f>
        <v>205.2</v>
      </c>
      <c r="H13" s="20" t="s">
        <v>146</v>
      </c>
      <c r="I13" s="21"/>
    </row>
    <row r="14" customFormat="false" ht="15.75" hidden="true" customHeight="false" outlineLevel="0" collapsed="false">
      <c r="B14" s="18"/>
      <c r="I14" s="21"/>
    </row>
    <row r="15" customFormat="false" ht="15.75" hidden="false" customHeight="false" outlineLevel="0" collapsed="false">
      <c r="A15" s="18"/>
    </row>
    <row r="16" customFormat="false" ht="15.75" hidden="false" customHeight="false" outlineLevel="0" collapsed="false">
      <c r="A16" s="18"/>
    </row>
    <row r="17" customFormat="false" ht="15.75" hidden="false" customHeight="false" outlineLevel="0" collapsed="false">
      <c r="A17" s="18"/>
    </row>
    <row r="18" customFormat="false" ht="15.75" hidden="false" customHeight="false" outlineLevel="0" collapsed="false">
      <c r="A18" s="18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customFormat="false" ht="15.75" hidden="false" customHeight="false" outlineLevel="0" collapsed="false">
      <c r="A19" s="18"/>
      <c r="B19" s="26" t="s">
        <v>147</v>
      </c>
      <c r="F19" s="27" t="s">
        <v>148</v>
      </c>
      <c r="H19" s="28" t="s">
        <v>149</v>
      </c>
      <c r="I19" s="29" t="s">
        <v>150</v>
      </c>
      <c r="J19" s="29" t="s">
        <v>150</v>
      </c>
      <c r="K19" s="30"/>
    </row>
    <row r="20" customFormat="false" ht="15.75" hidden="false" customHeight="false" outlineLevel="0" collapsed="false">
      <c r="A20" s="18"/>
      <c r="B20" s="26" t="s">
        <v>151</v>
      </c>
      <c r="F20" s="27" t="n">
        <v>200</v>
      </c>
      <c r="H20" s="28" t="n">
        <v>300</v>
      </c>
      <c r="I20" s="29" t="n">
        <v>120</v>
      </c>
      <c r="J20" s="29" t="n">
        <v>120</v>
      </c>
      <c r="K20" s="30"/>
    </row>
    <row r="21" customFormat="false" ht="15.75" hidden="false" customHeight="false" outlineLevel="0" collapsed="false">
      <c r="A21" s="18"/>
      <c r="B21" s="26"/>
      <c r="K21" s="30"/>
    </row>
    <row r="22" customFormat="false" ht="15.75" hidden="false" customHeight="false" outlineLevel="0" collapsed="false">
      <c r="A22" s="18"/>
      <c r="B22" s="31"/>
      <c r="C22" s="32"/>
      <c r="D22" s="32"/>
      <c r="E22" s="32"/>
      <c r="F22" s="32"/>
      <c r="G22" s="32"/>
      <c r="H22" s="32"/>
      <c r="I22" s="32"/>
      <c r="J22" s="32"/>
      <c r="K22" s="33"/>
    </row>
    <row r="23" customFormat="false" ht="15.75" hidden="false" customHeight="false" outlineLevel="0" collapsed="false">
      <c r="A23" s="18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customFormat="false" ht="15.75" hidden="false" customHeight="false" outlineLevel="0" collapsed="false">
      <c r="A24" s="18"/>
      <c r="B24" s="26"/>
      <c r="D24" s="34" t="s">
        <v>152</v>
      </c>
      <c r="E24" s="34" t="s">
        <v>153</v>
      </c>
      <c r="F24" s="34" t="s">
        <v>148</v>
      </c>
      <c r="G24" s="34" t="s">
        <v>154</v>
      </c>
      <c r="H24" s="34" t="s">
        <v>155</v>
      </c>
      <c r="I24" s="34" t="s">
        <v>156</v>
      </c>
      <c r="J24" s="34" t="s">
        <v>157</v>
      </c>
      <c r="K24" s="35" t="s">
        <v>158</v>
      </c>
    </row>
    <row r="25" customFormat="false" ht="15.75" hidden="false" customHeight="false" outlineLevel="0" collapsed="false">
      <c r="B25" s="36" t="s">
        <v>159</v>
      </c>
      <c r="C25" s="18" t="s">
        <v>99</v>
      </c>
      <c r="D25" s="18" t="n">
        <v>42</v>
      </c>
      <c r="G25" s="18" t="n">
        <v>54</v>
      </c>
      <c r="I25" s="18" t="n">
        <v>50</v>
      </c>
      <c r="K25" s="30"/>
    </row>
    <row r="26" customFormat="false" ht="15.75" hidden="false" customHeight="false" outlineLevel="0" collapsed="false">
      <c r="B26" s="36" t="s">
        <v>160</v>
      </c>
      <c r="C26" s="18" t="s">
        <v>39</v>
      </c>
      <c r="D26" s="18" t="n">
        <v>110</v>
      </c>
      <c r="E26" s="37" t="n">
        <v>48</v>
      </c>
      <c r="K26" s="30"/>
    </row>
    <row r="27" customFormat="false" ht="15.75" hidden="false" customHeight="false" outlineLevel="0" collapsed="false">
      <c r="B27" s="36" t="s">
        <v>161</v>
      </c>
      <c r="C27" s="18" t="s">
        <v>53</v>
      </c>
      <c r="H27" s="18" t="n">
        <v>56</v>
      </c>
      <c r="K27" s="30"/>
    </row>
    <row r="28" customFormat="false" ht="15.75" hidden="false" customHeight="false" outlineLevel="0" collapsed="false">
      <c r="B28" s="36" t="s">
        <v>162</v>
      </c>
      <c r="C28" s="18" t="s">
        <v>34</v>
      </c>
      <c r="G28" s="18" t="n">
        <v>84</v>
      </c>
      <c r="J28" s="18" t="n">
        <v>27</v>
      </c>
      <c r="K28" s="30"/>
    </row>
    <row r="29" customFormat="false" ht="15.75" hidden="false" customHeight="false" outlineLevel="0" collapsed="false">
      <c r="B29" s="36" t="s">
        <v>163</v>
      </c>
      <c r="C29" s="18" t="s">
        <v>83</v>
      </c>
      <c r="G29" s="18" t="n">
        <v>212</v>
      </c>
      <c r="K29" s="30"/>
    </row>
    <row r="30" customFormat="false" ht="15.75" hidden="false" customHeight="false" outlineLevel="0" collapsed="false">
      <c r="B30" s="36" t="s">
        <v>164</v>
      </c>
      <c r="C30" s="18" t="s">
        <v>55</v>
      </c>
      <c r="F30" s="18" t="n">
        <v>106</v>
      </c>
      <c r="K30" s="30"/>
    </row>
    <row r="31" customFormat="false" ht="15.75" hidden="false" customHeight="false" outlineLevel="0" collapsed="false">
      <c r="B31" s="36" t="s">
        <v>165</v>
      </c>
      <c r="C31" s="18" t="s">
        <v>20</v>
      </c>
      <c r="H31" s="18" t="n">
        <v>183</v>
      </c>
      <c r="K31" s="30"/>
    </row>
    <row r="32" customFormat="false" ht="15.75" hidden="false" customHeight="false" outlineLevel="0" collapsed="false">
      <c r="B32" s="36" t="s">
        <v>166</v>
      </c>
      <c r="C32" s="18" t="s">
        <v>42</v>
      </c>
      <c r="D32" s="18" t="n">
        <v>58</v>
      </c>
      <c r="H32" s="18" t="n">
        <v>162</v>
      </c>
      <c r="K32" s="38" t="n">
        <v>8</v>
      </c>
    </row>
    <row r="33" customFormat="false" ht="15.75" hidden="false" customHeight="false" outlineLevel="0" collapsed="false">
      <c r="B33" s="36" t="s">
        <v>167</v>
      </c>
      <c r="C33" s="18" t="s">
        <v>92</v>
      </c>
      <c r="H33" s="18" t="n">
        <v>107</v>
      </c>
      <c r="K33" s="30"/>
    </row>
    <row r="34" customFormat="false" ht="15.75" hidden="false" customHeight="false" outlineLevel="0" collapsed="false">
      <c r="B34" s="36" t="s">
        <v>168</v>
      </c>
      <c r="C34" s="18" t="s">
        <v>104</v>
      </c>
      <c r="D34" s="18" t="n">
        <v>15</v>
      </c>
      <c r="H34" s="18" t="n">
        <v>119</v>
      </c>
      <c r="K34" s="30"/>
    </row>
    <row r="35" customFormat="false" ht="15.75" hidden="false" customHeight="false" outlineLevel="0" collapsed="false">
      <c r="B35" s="26"/>
      <c r="C35" s="18"/>
      <c r="D35" s="18"/>
      <c r="H35" s="18"/>
      <c r="K35" s="30"/>
    </row>
    <row r="36" customFormat="false" ht="15.75" hidden="false" customHeight="false" outlineLevel="0" collapsed="false">
      <c r="B36" s="26"/>
      <c r="C36" s="19" t="s">
        <v>169</v>
      </c>
      <c r="D36" s="39" t="n">
        <f aca="false">SUM(D25:D34)</f>
        <v>225</v>
      </c>
      <c r="E36" s="39" t="n">
        <f aca="false">SUM(E25:E34)</f>
        <v>48</v>
      </c>
      <c r="F36" s="39" t="n">
        <f aca="false">SUM(F25:F34)</f>
        <v>106</v>
      </c>
      <c r="G36" s="39" t="n">
        <f aca="false">SUM(G25:G34)</f>
        <v>350</v>
      </c>
      <c r="H36" s="39" t="n">
        <f aca="false">SUM(H25:H34)</f>
        <v>627</v>
      </c>
      <c r="I36" s="39" t="n">
        <f aca="false">SUM(I25:I34)</f>
        <v>50</v>
      </c>
      <c r="J36" s="39" t="n">
        <f aca="false">SUM(J25:J34)</f>
        <v>27</v>
      </c>
      <c r="K36" s="40" t="n">
        <f aca="false">SUM(K25:K34)</f>
        <v>8</v>
      </c>
    </row>
    <row r="37" customFormat="false" ht="15.75" hidden="false" customHeight="false" outlineLevel="0" collapsed="false">
      <c r="B37" s="26"/>
      <c r="C37" s="19" t="s">
        <v>170</v>
      </c>
      <c r="D37" s="19"/>
      <c r="E37" s="19"/>
      <c r="F37" s="19" t="n">
        <v>200</v>
      </c>
      <c r="G37" s="19"/>
      <c r="H37" s="19" t="n">
        <v>300</v>
      </c>
      <c r="I37" s="19" t="n">
        <v>60</v>
      </c>
      <c r="J37" s="19" t="n">
        <v>60</v>
      </c>
      <c r="K37" s="41"/>
    </row>
    <row r="38" customFormat="false" ht="15.75" hidden="false" customHeight="false" outlineLevel="0" collapsed="false">
      <c r="B38" s="26"/>
      <c r="C38" s="19" t="s">
        <v>171</v>
      </c>
      <c r="D38" s="19" t="n">
        <f aca="false">IF(D36-D37&gt;0,D36-D37,0)</f>
        <v>225</v>
      </c>
      <c r="E38" s="19" t="n">
        <f aca="false">IF(E36-E37&gt;0,E36-E37,0)</f>
        <v>48</v>
      </c>
      <c r="F38" s="19" t="n">
        <f aca="false">IF(F36-F37&gt;0,F36-F37,0)</f>
        <v>0</v>
      </c>
      <c r="G38" s="19" t="n">
        <f aca="false">IF(G36-G37&gt;0,G36-G37,0)</f>
        <v>350</v>
      </c>
      <c r="H38" s="19" t="n">
        <f aca="false">IF(H36-H37&gt;0,H36-H37,0)</f>
        <v>327</v>
      </c>
      <c r="I38" s="19" t="n">
        <f aca="false">IF(I36-I37&gt;0,I36-I37,0)</f>
        <v>0</v>
      </c>
      <c r="J38" s="19" t="n">
        <f aca="false">IF(J36-J37&gt;0,J36-J37,0)</f>
        <v>0</v>
      </c>
      <c r="K38" s="41" t="n">
        <f aca="false">IF(K36-K37&gt;0,K36-K37,0)</f>
        <v>8</v>
      </c>
    </row>
    <row r="39" customFormat="false" ht="15.75" hidden="false" customHeight="false" outlineLevel="0" collapsed="false">
      <c r="B39" s="26"/>
      <c r="K39" s="30"/>
    </row>
    <row r="40" customFormat="false" ht="15.75" hidden="false" customHeight="false" outlineLevel="0" collapsed="false">
      <c r="B40" s="26"/>
      <c r="C40" s="18" t="s">
        <v>172</v>
      </c>
      <c r="D40" s="20" t="s">
        <v>173</v>
      </c>
      <c r="E40" s="18" t="s">
        <v>174</v>
      </c>
      <c r="F40" s="20" t="s">
        <v>175</v>
      </c>
      <c r="G40" s="20" t="s">
        <v>176</v>
      </c>
      <c r="H40" s="20" t="s">
        <v>177</v>
      </c>
      <c r="I40" s="20" t="s">
        <v>178</v>
      </c>
      <c r="J40" s="20" t="s">
        <v>179</v>
      </c>
      <c r="K40" s="30" t="s">
        <v>174</v>
      </c>
    </row>
    <row r="41" customFormat="false" ht="15.75" hidden="false" customHeight="false" outlineLevel="0" collapsed="false">
      <c r="B41" s="26"/>
      <c r="C41" s="18" t="s">
        <v>180</v>
      </c>
      <c r="D41" s="18" t="n">
        <v>7.5</v>
      </c>
      <c r="F41" s="18" t="n">
        <v>9</v>
      </c>
      <c r="G41" s="18" t="n">
        <v>11</v>
      </c>
      <c r="H41" s="18" t="n">
        <v>8</v>
      </c>
      <c r="I41" s="18" t="n">
        <v>10.5</v>
      </c>
      <c r="J41" s="18" t="n">
        <v>12</v>
      </c>
      <c r="K41" s="30"/>
    </row>
    <row r="42" customFormat="false" ht="15.75" hidden="false" customHeight="false" outlineLevel="0" collapsed="false">
      <c r="B42" s="31"/>
      <c r="C42" s="42" t="s">
        <v>181</v>
      </c>
      <c r="D42" s="42" t="n">
        <f aca="false">ROUNDUP(D38/100,0)*D41</f>
        <v>22.5</v>
      </c>
      <c r="E42" s="42" t="n">
        <f aca="false">ROUNDUP(E38/100,0)*E41</f>
        <v>0</v>
      </c>
      <c r="F42" s="42" t="n">
        <f aca="false">ROUNDUP(F38/100,0)*F41</f>
        <v>0</v>
      </c>
      <c r="G42" s="42" t="n">
        <f aca="false">ROUNDUP(G38/100,0)*G41</f>
        <v>44</v>
      </c>
      <c r="H42" s="42" t="n">
        <f aca="false">ROUNDUP(H38/100,0)*H41</f>
        <v>32</v>
      </c>
      <c r="I42" s="42" t="n">
        <f aca="false">ROUNDUP(I38/100,0)*I41</f>
        <v>0</v>
      </c>
      <c r="J42" s="42" t="n">
        <f aca="false">ROUNDUP(J38/100,0)*J41</f>
        <v>0</v>
      </c>
      <c r="K42" s="43" t="n">
        <f aca="false">ROUNDUP(K38/100,0)*K41</f>
        <v>0</v>
      </c>
    </row>
    <row r="46" customFormat="false" ht="15.75" hidden="false" customHeight="false" outlineLevel="0" collapsed="false">
      <c r="C46" s="37" t="s">
        <v>182</v>
      </c>
      <c r="D46" s="37" t="n">
        <f aca="false">SUMIF(B:B,1,G:G)+5.89</f>
        <v>2460.14</v>
      </c>
    </row>
  </sheetData>
  <autoFilter ref="B1:H14">
    <filterColumn colId="3">
      <filters>
        <filter val="Imprezowa"/>
        <filter val="Rodzinna"/>
        <filter val="Strategiczna"/>
        <filter val="Ekonomiczna"/>
      </filters>
    </filterColumn>
  </autoFilter>
  <hyperlinks>
    <hyperlink ref="H2" r:id="rId1" display="https://planszak.pl/pl/p/Azul-PL/3781"/>
    <hyperlink ref="H3" r:id="rId2" display="https://planszak.pl/pl/p/Brzdek/3864"/>
    <hyperlink ref="H4" r:id="rId3" display="https://planszak.pl/pl/p/Cytadela-nowa-edycja-/3818"/>
    <hyperlink ref="H5" r:id="rId4" display="https://planszak.pl/pl/p/Decrypto/3777"/>
    <hyperlink ref="H6" r:id="rId5" display="https://planszak.pl/pl/p/Diuna-Imperium-Dune-edycja-polska-/4462"/>
    <hyperlink ref="H7" r:id="rId6" display="https://planszak.pl/pl/p/Eksplodujace-Kotki/3714"/>
    <hyperlink ref="H8" r:id="rId7" display="https://planszak.pl/pl/p/Fasolki-Bohnanza-nowa-edycja-2017/3750"/>
    <hyperlink ref="H10" r:id="rId8" display="https://planszak.pl/pl/p/Na-skrzydlach-/3950"/>
    <hyperlink ref="H11" r:id="rId9" display="https://planszak.pl/pl/p/Root/4029"/>
    <hyperlink ref="H12" r:id="rId10" display="https://planszak.pl/pl/p/Scythe-edycja-polska/3615"/>
    <hyperlink ref="H13" r:id="rId11" display="https://planszak.pl/pl/p/Spirit-Island-edycja-polska/4254"/>
    <hyperlink ref="B25" r:id="rId12" display="https://www.sleeveyourgames.com/sleeves/2125/scythe"/>
    <hyperlink ref="B26" r:id="rId13" display="https://www.sleeveyourgames.com/sleeves/3777/decrypto"/>
    <hyperlink ref="B27" r:id="rId14" display="https://www.sleeveyourgames.com/sleeves/838/exploding-kittens"/>
    <hyperlink ref="B28" r:id="rId15" display="https://www.sleeveyourgames.com/sleeves/456/citadels"/>
    <hyperlink ref="B29" r:id="rId16" display="https://www.sleeveyourgames.com/sleeves/3453/wingspan"/>
    <hyperlink ref="B30" r:id="rId17" display="https://www.sleeveyourgames.com/sleeves/314/bohnanza"/>
    <hyperlink ref="B31" r:id="rId18" display="https://www.sleeveyourgames.com/sleeves/466/clank-a-deckbuilding-adventure"/>
    <hyperlink ref="B32" r:id="rId19" display="https://www.sleeveyourgames.com/sleeves/7149/dune-imperium"/>
    <hyperlink ref="B33" r:id="rId20" display="https://www.sleeveyourgames.com/sleeves/2937/root"/>
    <hyperlink ref="B34" r:id="rId21" display="https://www.sleeveyourgames.com/sleeves/2281/spirit-island"/>
    <hyperlink ref="D40" r:id="rId22" display="https://planszak.pl/pl/p/SLOYCA-Koszulki-Mini-European-44x68mm-100-szt./4253"/>
    <hyperlink ref="F40" r:id="rId23" display="https://planszak.pl/pl/p/SLOYCA-Koszulki-Standard-American-56x87mm-100-szt./4316"/>
    <hyperlink ref="G40" r:id="rId24" display="https://planszak.pl/pl/p/Koszulki-na-karty-Rebel-57%2C5x89-mm-Standard-American%2C-100-sztuk-/3530"/>
    <hyperlink ref="H40" r:id="rId25" display="https://planszak.pl/pl/p/Koszulki-SLOYCA-Standard-CCG-63%2C5-x-88-mm-100-szt./3945"/>
    <hyperlink ref="I40" r:id="rId26" display="https://planszak.pl/pl/p/Koszulki-na-karty-Rebel-70x110-mm-Kraken%2C-100-sztuk-/3542"/>
    <hyperlink ref="J40" r:id="rId27" display="https://planszak.pl/pl/p/Koszulki-na-karty-Rebel-70x120-mm-Tarot%2C-100-sztuk-/354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3.75"/>
    <col collapsed="false" customWidth="true" hidden="false" outlineLevel="0" max="2" min="2" style="1" width="28.38"/>
    <col collapsed="false" customWidth="true" hidden="false" outlineLevel="0" max="3" min="3" style="1" width="14.38"/>
    <col collapsed="false" customWidth="true" hidden="false" outlineLevel="0" max="4" min="4" style="1" width="13"/>
    <col collapsed="false" customWidth="true" hidden="false" outlineLevel="0" max="5" min="5" style="1" width="16.75"/>
    <col collapsed="false" customWidth="true" hidden="false" outlineLevel="0" max="6" min="6" style="1" width="37.63"/>
    <col collapsed="false" customWidth="true" hidden="false" outlineLevel="0" max="7" min="7" style="1" width="78"/>
    <col collapsed="false" customWidth="true" hidden="false" outlineLevel="0" max="8" min="8" style="1" width="46.25"/>
    <col collapsed="false" customWidth="true" hidden="false" outlineLevel="0" max="10" min="10" style="1" width="17.25"/>
  </cols>
  <sheetData>
    <row r="1" customFormat="false" ht="15.75" hidden="false" customHeight="false" outlineLevel="0" collapsed="false">
      <c r="A1" s="44" t="s">
        <v>183</v>
      </c>
      <c r="B1" s="45" t="s">
        <v>184</v>
      </c>
      <c r="C1" s="46" t="s">
        <v>185</v>
      </c>
      <c r="D1" s="45" t="s">
        <v>186</v>
      </c>
      <c r="E1" s="47" t="s">
        <v>187</v>
      </c>
      <c r="F1" s="48" t="s">
        <v>188</v>
      </c>
      <c r="G1" s="49" t="s">
        <v>189</v>
      </c>
      <c r="H1" s="50"/>
      <c r="I1" s="50"/>
    </row>
    <row r="2" customFormat="false" ht="15.75" hidden="false" customHeight="false" outlineLevel="0" collapsed="false">
      <c r="A2" s="51" t="s">
        <v>5</v>
      </c>
      <c r="B2" s="51" t="n">
        <v>30</v>
      </c>
      <c r="C2" s="51" t="s">
        <v>190</v>
      </c>
      <c r="D2" s="51" t="s">
        <v>191</v>
      </c>
      <c r="E2" s="18" t="s">
        <v>192</v>
      </c>
      <c r="F2" s="50" t="s">
        <v>193</v>
      </c>
      <c r="G2" s="50"/>
      <c r="H2" s="50"/>
      <c r="I2" s="50"/>
    </row>
    <row r="3" customFormat="false" ht="15.75" hidden="false" customHeight="false" outlineLevel="0" collapsed="false">
      <c r="A3" s="52" t="s">
        <v>194</v>
      </c>
      <c r="B3" s="53" t="n">
        <v>150</v>
      </c>
      <c r="C3" s="54" t="s">
        <v>137</v>
      </c>
      <c r="D3" s="52" t="s">
        <v>195</v>
      </c>
      <c r="E3" s="18" t="s">
        <v>192</v>
      </c>
      <c r="F3" s="50" t="s">
        <v>193</v>
      </c>
      <c r="G3" s="55" t="s">
        <v>196</v>
      </c>
      <c r="H3" s="50"/>
      <c r="I3" s="50"/>
    </row>
    <row r="4" customFormat="false" ht="15.75" hidden="true" customHeight="false" outlineLevel="0" collapsed="false">
      <c r="A4" s="51" t="s">
        <v>197</v>
      </c>
      <c r="B4" s="51" t="n">
        <v>110</v>
      </c>
      <c r="C4" s="51" t="s">
        <v>144</v>
      </c>
      <c r="D4" s="51" t="s">
        <v>198</v>
      </c>
      <c r="E4" s="18" t="s">
        <v>192</v>
      </c>
      <c r="F4" s="50"/>
      <c r="G4" s="50"/>
      <c r="H4" s="50"/>
      <c r="I4" s="50"/>
    </row>
    <row r="5" customFormat="false" ht="15.75" hidden="true" customHeight="false" outlineLevel="0" collapsed="false">
      <c r="A5" s="51" t="s">
        <v>199</v>
      </c>
      <c r="B5" s="51" t="n">
        <v>200</v>
      </c>
      <c r="C5" s="51" t="s">
        <v>190</v>
      </c>
      <c r="D5" s="51" t="s">
        <v>200</v>
      </c>
      <c r="E5" s="18" t="s">
        <v>201</v>
      </c>
      <c r="F5" s="50" t="s">
        <v>202</v>
      </c>
      <c r="G5" s="50"/>
      <c r="H5" s="50" t="s">
        <v>203</v>
      </c>
      <c r="I5" s="50" t="s">
        <v>204</v>
      </c>
      <c r="J5" s="50" t="s">
        <v>205</v>
      </c>
    </row>
    <row r="6" customFormat="false" ht="15.75" hidden="true" customHeight="false" outlineLevel="0" collapsed="false">
      <c r="A6" s="52" t="s">
        <v>206</v>
      </c>
      <c r="B6" s="53" t="n">
        <v>50</v>
      </c>
      <c r="C6" s="52" t="s">
        <v>190</v>
      </c>
      <c r="D6" s="52" t="s">
        <v>207</v>
      </c>
      <c r="E6" s="18" t="s">
        <v>192</v>
      </c>
      <c r="F6" s="50"/>
      <c r="G6" s="50"/>
      <c r="H6" s="50" t="s">
        <v>208</v>
      </c>
      <c r="I6" s="50"/>
    </row>
    <row r="7" customFormat="false" ht="15.75" hidden="true" customHeight="false" outlineLevel="0" collapsed="false">
      <c r="A7" s="56" t="s">
        <v>209</v>
      </c>
      <c r="B7" s="51" t="n">
        <v>56</v>
      </c>
      <c r="C7" s="51" t="s">
        <v>190</v>
      </c>
      <c r="D7" s="51" t="s">
        <v>210</v>
      </c>
      <c r="E7" s="18" t="s">
        <v>211</v>
      </c>
      <c r="F7" s="50"/>
      <c r="G7" s="50"/>
      <c r="H7" s="50" t="s">
        <v>208</v>
      </c>
      <c r="I7" s="50"/>
    </row>
    <row r="8" customFormat="false" ht="15.75" hidden="false" customHeight="false" outlineLevel="0" collapsed="false">
      <c r="A8" s="51" t="s">
        <v>212</v>
      </c>
      <c r="B8" s="51" t="n">
        <v>239</v>
      </c>
      <c r="C8" s="51" t="s">
        <v>190</v>
      </c>
      <c r="D8" s="51" t="s">
        <v>213</v>
      </c>
      <c r="E8" s="18" t="s">
        <v>214</v>
      </c>
      <c r="F8" s="50" t="s">
        <v>193</v>
      </c>
      <c r="G8" s="55"/>
      <c r="H8" s="50" t="s">
        <v>215</v>
      </c>
      <c r="I8" s="50" t="s">
        <v>216</v>
      </c>
      <c r="K8" s="18" t="s">
        <v>217</v>
      </c>
    </row>
    <row r="9" customFormat="false" ht="15.75" hidden="false" customHeight="false" outlineLevel="0" collapsed="false">
      <c r="A9" s="51" t="s">
        <v>25</v>
      </c>
      <c r="B9" s="51" t="n">
        <v>100</v>
      </c>
      <c r="C9" s="51" t="s">
        <v>190</v>
      </c>
      <c r="D9" s="51" t="s">
        <v>218</v>
      </c>
      <c r="E9" s="18" t="s">
        <v>192</v>
      </c>
      <c r="F9" s="50" t="s">
        <v>193</v>
      </c>
      <c r="G9" s="55"/>
      <c r="H9" s="50"/>
      <c r="I9" s="50"/>
    </row>
    <row r="10" customFormat="false" ht="15.75" hidden="true" customHeight="false" outlineLevel="0" collapsed="false">
      <c r="A10" s="51" t="s">
        <v>219</v>
      </c>
      <c r="B10" s="51" t="n">
        <v>120</v>
      </c>
      <c r="C10" s="51" t="s">
        <v>220</v>
      </c>
      <c r="D10" s="51" t="s">
        <v>221</v>
      </c>
      <c r="E10" s="18" t="s">
        <v>211</v>
      </c>
      <c r="F10" s="50"/>
      <c r="G10" s="57" t="s">
        <v>222</v>
      </c>
    </row>
    <row r="11" customFormat="false" ht="15.75" hidden="false" customHeight="false" outlineLevel="0" collapsed="false">
      <c r="A11" s="51" t="s">
        <v>29</v>
      </c>
      <c r="B11" s="51" t="n">
        <v>130</v>
      </c>
      <c r="C11" s="51" t="s">
        <v>190</v>
      </c>
      <c r="D11" s="51" t="s">
        <v>223</v>
      </c>
      <c r="E11" s="18" t="s">
        <v>192</v>
      </c>
      <c r="F11" s="50" t="s">
        <v>193</v>
      </c>
      <c r="G11" s="58" t="s">
        <v>224</v>
      </c>
      <c r="H11" s="50"/>
      <c r="I11" s="50"/>
    </row>
    <row r="12" customFormat="false" ht="15.75" hidden="false" customHeight="false" outlineLevel="0" collapsed="false">
      <c r="A12" s="51" t="s">
        <v>31</v>
      </c>
      <c r="B12" s="51" t="n">
        <v>150</v>
      </c>
      <c r="C12" s="51" t="s">
        <v>137</v>
      </c>
      <c r="D12" s="51" t="s">
        <v>213</v>
      </c>
      <c r="E12" s="18" t="s">
        <v>211</v>
      </c>
      <c r="F12" s="50" t="s">
        <v>193</v>
      </c>
      <c r="G12" s="59" t="s">
        <v>225</v>
      </c>
      <c r="H12" s="50"/>
      <c r="I12" s="50"/>
    </row>
    <row r="13" customFormat="false" ht="15.75" hidden="false" customHeight="false" outlineLevel="0" collapsed="false">
      <c r="A13" s="51" t="s">
        <v>226</v>
      </c>
      <c r="B13" s="51" t="n">
        <v>36</v>
      </c>
      <c r="C13" s="51" t="s">
        <v>190</v>
      </c>
      <c r="D13" s="51" t="s">
        <v>227</v>
      </c>
      <c r="E13" s="18" t="s">
        <v>228</v>
      </c>
      <c r="F13" s="50" t="s">
        <v>193</v>
      </c>
      <c r="G13" s="55"/>
      <c r="H13" s="50"/>
      <c r="I13" s="50"/>
    </row>
    <row r="14" customFormat="false" ht="15.75" hidden="false" customHeight="false" outlineLevel="0" collapsed="false">
      <c r="A14" s="51" t="s">
        <v>229</v>
      </c>
      <c r="B14" s="51" t="n">
        <v>65</v>
      </c>
      <c r="C14" s="51" t="s">
        <v>190</v>
      </c>
      <c r="D14" s="51" t="s">
        <v>230</v>
      </c>
      <c r="E14" s="18" t="s">
        <v>211</v>
      </c>
      <c r="F14" s="50" t="s">
        <v>193</v>
      </c>
      <c r="G14" s="60" t="s">
        <v>231</v>
      </c>
      <c r="H14" s="50"/>
      <c r="I14" s="50"/>
    </row>
    <row r="15" customFormat="false" ht="15.75" hidden="false" customHeight="false" outlineLevel="0" collapsed="false">
      <c r="A15" s="51" t="s">
        <v>232</v>
      </c>
      <c r="B15" s="51" t="n">
        <v>65</v>
      </c>
      <c r="C15" s="51" t="s">
        <v>190</v>
      </c>
      <c r="D15" s="51" t="s">
        <v>230</v>
      </c>
      <c r="E15" s="18" t="s">
        <v>211</v>
      </c>
      <c r="F15" s="50" t="s">
        <v>193</v>
      </c>
      <c r="G15" s="60" t="s">
        <v>231</v>
      </c>
      <c r="H15" s="50"/>
      <c r="I15" s="50"/>
    </row>
    <row r="16" customFormat="false" ht="15.75" hidden="false" customHeight="false" outlineLevel="0" collapsed="false">
      <c r="A16" s="52" t="s">
        <v>233</v>
      </c>
      <c r="B16" s="53" t="n">
        <v>90</v>
      </c>
      <c r="C16" s="52" t="s">
        <v>190</v>
      </c>
      <c r="D16" s="52" t="s">
        <v>234</v>
      </c>
      <c r="E16" s="18" t="s">
        <v>192</v>
      </c>
      <c r="F16" s="50" t="s">
        <v>193</v>
      </c>
      <c r="G16" s="61" t="s">
        <v>231</v>
      </c>
      <c r="H16" s="50" t="s">
        <v>235</v>
      </c>
      <c r="I16" s="50"/>
      <c r="J16" s="18" t="s">
        <v>236</v>
      </c>
      <c r="K16" s="18" t="s">
        <v>237</v>
      </c>
    </row>
    <row r="17" customFormat="false" ht="15.75" hidden="false" customHeight="false" outlineLevel="0" collapsed="false">
      <c r="A17" s="51" t="s">
        <v>48</v>
      </c>
      <c r="B17" s="51" t="n">
        <v>45</v>
      </c>
      <c r="C17" s="51" t="s">
        <v>220</v>
      </c>
      <c r="D17" s="51" t="s">
        <v>238</v>
      </c>
      <c r="E17" s="18" t="s">
        <v>211</v>
      </c>
      <c r="F17" s="50" t="s">
        <v>193</v>
      </c>
      <c r="G17" s="62"/>
      <c r="H17" s="50"/>
      <c r="I17" s="50"/>
    </row>
    <row r="18" customFormat="false" ht="15.75" hidden="false" customHeight="false" outlineLevel="0" collapsed="false">
      <c r="A18" s="51" t="s">
        <v>51</v>
      </c>
      <c r="B18" s="51" t="n">
        <v>80</v>
      </c>
      <c r="C18" s="51" t="s">
        <v>190</v>
      </c>
      <c r="D18" s="51" t="s">
        <v>221</v>
      </c>
      <c r="E18" s="18" t="s">
        <v>211</v>
      </c>
      <c r="F18" s="50" t="s">
        <v>193</v>
      </c>
      <c r="G18" s="63" t="s">
        <v>239</v>
      </c>
      <c r="H18" s="50"/>
      <c r="I18" s="50"/>
    </row>
    <row r="19" customFormat="false" ht="15.75" hidden="false" customHeight="false" outlineLevel="0" collapsed="false">
      <c r="A19" s="51" t="s">
        <v>57</v>
      </c>
      <c r="B19" s="51" t="n">
        <v>82</v>
      </c>
      <c r="C19" s="51" t="s">
        <v>190</v>
      </c>
      <c r="D19" s="51" t="s">
        <v>240</v>
      </c>
      <c r="E19" s="18" t="s">
        <v>211</v>
      </c>
      <c r="F19" s="50" t="s">
        <v>193</v>
      </c>
      <c r="G19" s="55"/>
      <c r="H19" s="50" t="s">
        <v>241</v>
      </c>
      <c r="I19" s="50"/>
    </row>
    <row r="20" customFormat="false" ht="15.75" hidden="false" customHeight="false" outlineLevel="0" collapsed="false">
      <c r="A20" s="52" t="s">
        <v>242</v>
      </c>
      <c r="B20" s="53" t="n">
        <v>180</v>
      </c>
      <c r="C20" s="52" t="s">
        <v>137</v>
      </c>
      <c r="D20" s="52" t="s">
        <v>243</v>
      </c>
      <c r="E20" s="18" t="s">
        <v>192</v>
      </c>
      <c r="F20" s="50" t="s">
        <v>193</v>
      </c>
      <c r="G20" s="64" t="s">
        <v>244</v>
      </c>
      <c r="H20" s="50"/>
      <c r="I20" s="50"/>
    </row>
    <row r="21" customFormat="false" ht="15.75" hidden="true" customHeight="false" outlineLevel="0" collapsed="false">
      <c r="A21" s="51" t="s">
        <v>245</v>
      </c>
      <c r="B21" s="51" t="n">
        <v>160</v>
      </c>
      <c r="C21" s="51" t="s">
        <v>246</v>
      </c>
      <c r="D21" s="51" t="s">
        <v>247</v>
      </c>
      <c r="E21" s="18" t="s">
        <v>248</v>
      </c>
      <c r="F21" s="50" t="s">
        <v>249</v>
      </c>
      <c r="G21" s="50"/>
      <c r="H21" s="50"/>
      <c r="I21" s="50"/>
    </row>
    <row r="22" customFormat="false" ht="15.75" hidden="false" customHeight="false" outlineLevel="0" collapsed="false">
      <c r="A22" s="52" t="s">
        <v>250</v>
      </c>
      <c r="B22" s="53" t="n">
        <v>90</v>
      </c>
      <c r="C22" s="54" t="s">
        <v>251</v>
      </c>
      <c r="D22" s="52" t="s">
        <v>252</v>
      </c>
      <c r="E22" s="18" t="s">
        <v>192</v>
      </c>
      <c r="F22" s="50" t="s">
        <v>193</v>
      </c>
      <c r="G22" s="55"/>
      <c r="H22" s="50"/>
      <c r="I22" s="50"/>
    </row>
    <row r="23" customFormat="false" ht="15.75" hidden="true" customHeight="false" outlineLevel="0" collapsed="false">
      <c r="A23" s="52" t="s">
        <v>253</v>
      </c>
      <c r="B23" s="53" t="n">
        <v>60</v>
      </c>
      <c r="C23" s="52" t="s">
        <v>220</v>
      </c>
      <c r="D23" s="52" t="s">
        <v>234</v>
      </c>
      <c r="E23" s="18" t="s">
        <v>192</v>
      </c>
      <c r="F23" s="50"/>
      <c r="G23" s="50"/>
      <c r="H23" s="50"/>
      <c r="I23" s="50"/>
    </row>
    <row r="24" customFormat="false" ht="15.75" hidden="false" customHeight="false" outlineLevel="0" collapsed="false">
      <c r="A24" s="52" t="s">
        <v>66</v>
      </c>
      <c r="B24" s="53" t="n">
        <v>55</v>
      </c>
      <c r="C24" s="52" t="s">
        <v>220</v>
      </c>
      <c r="D24" s="52" t="s">
        <v>254</v>
      </c>
      <c r="E24" s="18" t="s">
        <v>192</v>
      </c>
      <c r="F24" s="50" t="s">
        <v>193</v>
      </c>
      <c r="G24" s="55"/>
      <c r="H24" s="50" t="s">
        <v>255</v>
      </c>
      <c r="I24" s="50"/>
    </row>
    <row r="25" customFormat="false" ht="15.75" hidden="false" customHeight="false" outlineLevel="0" collapsed="false">
      <c r="A25" s="51" t="s">
        <v>256</v>
      </c>
      <c r="B25" s="51" t="s">
        <v>257</v>
      </c>
      <c r="C25" s="51" t="s">
        <v>190</v>
      </c>
      <c r="D25" s="51" t="s">
        <v>191</v>
      </c>
      <c r="E25" s="18" t="s">
        <v>258</v>
      </c>
      <c r="F25" s="50" t="s">
        <v>193</v>
      </c>
      <c r="G25" s="55"/>
      <c r="H25" s="50" t="s">
        <v>259</v>
      </c>
      <c r="I25" s="50" t="s">
        <v>260</v>
      </c>
      <c r="J25" s="18" t="s">
        <v>261</v>
      </c>
    </row>
    <row r="26" customFormat="false" ht="15.75" hidden="false" customHeight="false" outlineLevel="0" collapsed="false">
      <c r="A26" s="13" t="s">
        <v>74</v>
      </c>
      <c r="B26" s="51" t="n">
        <v>78</v>
      </c>
      <c r="C26" s="51" t="s">
        <v>144</v>
      </c>
      <c r="D26" s="51" t="s">
        <v>213</v>
      </c>
      <c r="E26" s="18" t="s">
        <v>211</v>
      </c>
      <c r="F26" s="50" t="s">
        <v>193</v>
      </c>
      <c r="G26" s="57" t="s">
        <v>262</v>
      </c>
      <c r="H26" s="50"/>
      <c r="I26" s="50"/>
    </row>
    <row r="27" customFormat="false" ht="15.75" hidden="true" customHeight="false" outlineLevel="0" collapsed="false">
      <c r="A27" s="65" t="s">
        <v>263</v>
      </c>
      <c r="B27" s="66" t="s">
        <v>264</v>
      </c>
      <c r="C27" s="51"/>
      <c r="D27" s="51"/>
      <c r="E27" s="18" t="s">
        <v>211</v>
      </c>
      <c r="F27" s="50" t="s">
        <v>193</v>
      </c>
      <c r="G27" s="62"/>
      <c r="H27" s="50"/>
      <c r="I27" s="50"/>
    </row>
    <row r="28" customFormat="false" ht="15.75" hidden="true" customHeight="false" outlineLevel="0" collapsed="false">
      <c r="A28" s="52" t="s">
        <v>265</v>
      </c>
      <c r="B28" s="53" t="n">
        <v>30</v>
      </c>
      <c r="C28" s="52" t="s">
        <v>220</v>
      </c>
      <c r="D28" s="52" t="s">
        <v>266</v>
      </c>
      <c r="E28" s="18" t="s">
        <v>192</v>
      </c>
      <c r="F28" s="50"/>
      <c r="G28" s="50"/>
      <c r="H28" s="50"/>
      <c r="I28" s="50"/>
    </row>
    <row r="29" customFormat="false" ht="15.75" hidden="true" customHeight="false" outlineLevel="0" collapsed="false">
      <c r="A29" s="52" t="s">
        <v>267</v>
      </c>
      <c r="B29" s="53" t="n">
        <v>140</v>
      </c>
      <c r="C29" s="52" t="s">
        <v>144</v>
      </c>
      <c r="D29" s="52" t="s">
        <v>268</v>
      </c>
      <c r="E29" s="18" t="s">
        <v>192</v>
      </c>
      <c r="F29" s="50"/>
      <c r="G29" s="50"/>
      <c r="H29" s="50"/>
      <c r="I29" s="50"/>
    </row>
    <row r="30" customFormat="false" ht="15.75" hidden="false" customHeight="false" outlineLevel="0" collapsed="false">
      <c r="A30" s="18" t="s">
        <v>76</v>
      </c>
      <c r="B30" s="51" t="n">
        <v>30</v>
      </c>
      <c r="C30" s="51" t="s">
        <v>190</v>
      </c>
      <c r="D30" s="51" t="s">
        <v>269</v>
      </c>
      <c r="E30" s="18" t="s">
        <v>270</v>
      </c>
      <c r="F30" s="50" t="s">
        <v>193</v>
      </c>
      <c r="G30" s="55"/>
      <c r="H30" s="50"/>
      <c r="I30" s="50"/>
    </row>
    <row r="31" customFormat="false" ht="15.75" hidden="false" customHeight="false" outlineLevel="0" collapsed="false">
      <c r="A31" s="52" t="s">
        <v>271</v>
      </c>
      <c r="B31" s="53" t="n">
        <v>52</v>
      </c>
      <c r="C31" s="52" t="s">
        <v>190</v>
      </c>
      <c r="D31" s="52" t="s">
        <v>272</v>
      </c>
      <c r="E31" s="18" t="s">
        <v>192</v>
      </c>
      <c r="F31" s="50" t="s">
        <v>193</v>
      </c>
      <c r="G31" s="58" t="s">
        <v>273</v>
      </c>
      <c r="H31" s="50" t="s">
        <v>274</v>
      </c>
      <c r="I31" s="50"/>
    </row>
    <row r="32" customFormat="false" ht="15.75" hidden="false" customHeight="false" outlineLevel="0" collapsed="false">
      <c r="A32" s="52" t="s">
        <v>81</v>
      </c>
      <c r="B32" s="53" t="n">
        <v>75</v>
      </c>
      <c r="C32" s="52" t="s">
        <v>275</v>
      </c>
      <c r="D32" s="52" t="s">
        <v>195</v>
      </c>
      <c r="E32" s="18" t="s">
        <v>192</v>
      </c>
      <c r="F32" s="50" t="s">
        <v>193</v>
      </c>
      <c r="G32" s="67" t="s">
        <v>276</v>
      </c>
      <c r="H32" s="50"/>
      <c r="I32" s="50"/>
    </row>
    <row r="33" customFormat="false" ht="15.75" hidden="true" customHeight="false" outlineLevel="0" collapsed="false">
      <c r="A33" s="51" t="s">
        <v>277</v>
      </c>
      <c r="B33" s="51" t="n">
        <v>70</v>
      </c>
      <c r="C33" s="51" t="s">
        <v>246</v>
      </c>
      <c r="D33" s="51" t="s">
        <v>278</v>
      </c>
      <c r="E33" s="18" t="s">
        <v>279</v>
      </c>
      <c r="F33" s="50"/>
      <c r="G33" s="50"/>
      <c r="H33" s="50"/>
      <c r="I33" s="50"/>
    </row>
    <row r="34" customFormat="false" ht="15.75" hidden="true" customHeight="false" outlineLevel="0" collapsed="false">
      <c r="A34" s="51" t="s">
        <v>280</v>
      </c>
      <c r="B34" s="51" t="n">
        <v>50</v>
      </c>
      <c r="C34" s="51" t="s">
        <v>246</v>
      </c>
      <c r="D34" s="51" t="s">
        <v>278</v>
      </c>
      <c r="E34" s="18" t="s">
        <v>279</v>
      </c>
      <c r="F34" s="50"/>
      <c r="G34" s="50"/>
      <c r="H34" s="50"/>
      <c r="I34" s="50"/>
    </row>
    <row r="35" customFormat="false" ht="15.75" hidden="true" customHeight="false" outlineLevel="0" collapsed="false">
      <c r="A35" s="51" t="s">
        <v>281</v>
      </c>
      <c r="B35" s="51" t="n">
        <v>50</v>
      </c>
      <c r="C35" s="51" t="s">
        <v>246</v>
      </c>
      <c r="D35" s="51" t="s">
        <v>278</v>
      </c>
      <c r="E35" s="18" t="s">
        <v>279</v>
      </c>
      <c r="F35" s="50"/>
      <c r="G35" s="50"/>
      <c r="H35" s="50"/>
      <c r="I35" s="50"/>
    </row>
    <row r="36" customFormat="false" ht="15.75" hidden="false" customHeight="false" outlineLevel="0" collapsed="false">
      <c r="A36" s="52" t="s">
        <v>85</v>
      </c>
      <c r="B36" s="53" t="n">
        <v>96</v>
      </c>
      <c r="C36" s="52" t="s">
        <v>144</v>
      </c>
      <c r="D36" s="52" t="s">
        <v>266</v>
      </c>
      <c r="E36" s="18" t="s">
        <v>192</v>
      </c>
      <c r="F36" s="50" t="s">
        <v>193</v>
      </c>
      <c r="G36" s="50"/>
      <c r="H36" s="50"/>
      <c r="I36" s="50"/>
    </row>
    <row r="37" customFormat="false" ht="15.75" hidden="true" customHeight="false" outlineLevel="0" collapsed="false">
      <c r="A37" s="51" t="s">
        <v>282</v>
      </c>
      <c r="B37" s="51" t="n">
        <v>125</v>
      </c>
      <c r="C37" s="51" t="s">
        <v>137</v>
      </c>
      <c r="D37" s="51" t="s">
        <v>221</v>
      </c>
      <c r="E37" s="18" t="s">
        <v>192</v>
      </c>
      <c r="F37" s="50"/>
      <c r="G37" s="50"/>
      <c r="H37" s="50"/>
      <c r="I37" s="50"/>
    </row>
    <row r="38" customFormat="false" ht="15.75" hidden="true" customHeight="false" outlineLevel="0" collapsed="false">
      <c r="A38" s="51" t="s">
        <v>282</v>
      </c>
      <c r="B38" s="51" t="n">
        <v>110</v>
      </c>
      <c r="C38" s="51" t="s">
        <v>251</v>
      </c>
      <c r="D38" s="51" t="s">
        <v>221</v>
      </c>
      <c r="E38" s="18" t="s">
        <v>248</v>
      </c>
      <c r="F38" s="50" t="s">
        <v>249</v>
      </c>
      <c r="G38" s="50"/>
      <c r="H38" s="50"/>
      <c r="I38" s="50"/>
    </row>
    <row r="39" customFormat="false" ht="15.75" hidden="false" customHeight="false" outlineLevel="0" collapsed="false">
      <c r="A39" s="51" t="s">
        <v>283</v>
      </c>
      <c r="B39" s="51" t="n">
        <v>50</v>
      </c>
      <c r="C39" s="51" t="s">
        <v>190</v>
      </c>
      <c r="D39" s="51" t="s">
        <v>284</v>
      </c>
      <c r="E39" s="18" t="s">
        <v>211</v>
      </c>
      <c r="F39" s="50" t="s">
        <v>193</v>
      </c>
      <c r="G39" s="63" t="s">
        <v>285</v>
      </c>
      <c r="H39" s="50"/>
      <c r="I39" s="50"/>
    </row>
    <row r="40" customFormat="false" ht="15.75" hidden="false" customHeight="false" outlineLevel="0" collapsed="false">
      <c r="A40" s="52" t="s">
        <v>286</v>
      </c>
      <c r="B40" s="53" t="n">
        <v>70</v>
      </c>
      <c r="C40" s="52" t="s">
        <v>190</v>
      </c>
      <c r="D40" s="52" t="s">
        <v>234</v>
      </c>
      <c r="E40" s="18" t="s">
        <v>192</v>
      </c>
      <c r="F40" s="50" t="s">
        <v>193</v>
      </c>
      <c r="G40" s="68"/>
      <c r="H40" s="50" t="s">
        <v>287</v>
      </c>
      <c r="I40" s="50"/>
    </row>
    <row r="41" customFormat="false" ht="15.75" hidden="true" customHeight="false" outlineLevel="0" collapsed="false">
      <c r="A41" s="52" t="s">
        <v>288</v>
      </c>
      <c r="B41" s="53" t="n">
        <v>120</v>
      </c>
      <c r="C41" s="52" t="s">
        <v>144</v>
      </c>
      <c r="D41" s="52" t="s">
        <v>266</v>
      </c>
      <c r="E41" s="18" t="s">
        <v>192</v>
      </c>
      <c r="F41" s="50"/>
      <c r="G41" s="50"/>
      <c r="H41" s="50"/>
      <c r="I41" s="50"/>
    </row>
    <row r="42" customFormat="false" ht="15.75" hidden="false" customHeight="false" outlineLevel="0" collapsed="false">
      <c r="A42" s="52" t="s">
        <v>94</v>
      </c>
      <c r="B42" s="53" t="n">
        <v>25</v>
      </c>
      <c r="C42" s="52" t="s">
        <v>190</v>
      </c>
      <c r="D42" s="52" t="s">
        <v>207</v>
      </c>
      <c r="E42" s="18" t="s">
        <v>192</v>
      </c>
      <c r="F42" s="50" t="s">
        <v>193</v>
      </c>
      <c r="G42" s="55"/>
      <c r="H42" s="50"/>
      <c r="I42" s="50"/>
    </row>
    <row r="43" customFormat="false" ht="15.75" hidden="false" customHeight="false" outlineLevel="0" collapsed="false">
      <c r="A43" s="52" t="s">
        <v>101</v>
      </c>
      <c r="B43" s="53" t="n">
        <v>36</v>
      </c>
      <c r="C43" s="52" t="s">
        <v>251</v>
      </c>
      <c r="D43" s="52" t="s">
        <v>289</v>
      </c>
      <c r="E43" s="18" t="s">
        <v>192</v>
      </c>
      <c r="F43" s="50" t="s">
        <v>193</v>
      </c>
      <c r="G43" s="50"/>
      <c r="H43" s="50"/>
      <c r="I43" s="50"/>
    </row>
    <row r="44" customFormat="false" ht="15.75" hidden="true" customHeight="false" outlineLevel="0" collapsed="false">
      <c r="A44" s="51" t="s">
        <v>290</v>
      </c>
      <c r="B44" s="51" t="n">
        <v>130</v>
      </c>
      <c r="C44" s="51" t="s">
        <v>137</v>
      </c>
      <c r="D44" s="51" t="s">
        <v>291</v>
      </c>
      <c r="E44" s="18" t="s">
        <v>192</v>
      </c>
      <c r="F44" s="50"/>
      <c r="G44" s="50"/>
      <c r="H44" s="50"/>
      <c r="I44" s="50"/>
    </row>
    <row r="45" customFormat="false" ht="15.75" hidden="true" customHeight="false" outlineLevel="0" collapsed="false">
      <c r="A45" s="52" t="s">
        <v>292</v>
      </c>
      <c r="B45" s="53" t="n">
        <v>129</v>
      </c>
      <c r="C45" s="52" t="s">
        <v>137</v>
      </c>
      <c r="D45" s="52" t="s">
        <v>268</v>
      </c>
      <c r="E45" s="18" t="s">
        <v>192</v>
      </c>
      <c r="F45" s="50"/>
      <c r="G45" s="50"/>
      <c r="H45" s="50"/>
      <c r="I45" s="50"/>
    </row>
    <row r="46" customFormat="false" ht="15.75" hidden="false" customHeight="false" outlineLevel="0" collapsed="false">
      <c r="A46" s="52" t="s">
        <v>106</v>
      </c>
      <c r="B46" s="53" t="n">
        <v>90</v>
      </c>
      <c r="C46" s="52" t="s">
        <v>144</v>
      </c>
      <c r="D46" s="52" t="s">
        <v>252</v>
      </c>
      <c r="E46" s="18" t="s">
        <v>192</v>
      </c>
      <c r="F46" s="50" t="s">
        <v>193</v>
      </c>
      <c r="G46" s="69" t="s">
        <v>293</v>
      </c>
      <c r="H46" s="50" t="s">
        <v>294</v>
      </c>
      <c r="I46" s="50"/>
    </row>
    <row r="47" customFormat="false" ht="15.75" hidden="false" customHeight="false" outlineLevel="0" collapsed="false">
      <c r="A47" s="51" t="s">
        <v>110</v>
      </c>
      <c r="B47" s="51" t="n">
        <v>105</v>
      </c>
      <c r="C47" s="51" t="s">
        <v>190</v>
      </c>
      <c r="D47" s="51" t="s">
        <v>291</v>
      </c>
      <c r="E47" s="18" t="s">
        <v>211</v>
      </c>
      <c r="F47" s="50" t="s">
        <v>193</v>
      </c>
      <c r="G47" s="70" t="s">
        <v>295</v>
      </c>
      <c r="H47" s="50"/>
      <c r="I47" s="50"/>
    </row>
    <row r="48" customFormat="false" ht="15.75" hidden="false" customHeight="false" outlineLevel="0" collapsed="false">
      <c r="A48" s="51" t="s">
        <v>113</v>
      </c>
      <c r="B48" s="51" t="n">
        <v>64</v>
      </c>
      <c r="C48" s="51" t="s">
        <v>190</v>
      </c>
      <c r="D48" s="51" t="s">
        <v>238</v>
      </c>
      <c r="E48" s="18" t="s">
        <v>214</v>
      </c>
      <c r="F48" s="50" t="s">
        <v>193</v>
      </c>
      <c r="G48" s="55"/>
      <c r="H48" s="50" t="s">
        <v>296</v>
      </c>
      <c r="I48" s="50" t="s">
        <v>297</v>
      </c>
    </row>
    <row r="49" customFormat="false" ht="15.75" hidden="true" customHeight="false" outlineLevel="0" collapsed="false">
      <c r="A49" s="51" t="s">
        <v>298</v>
      </c>
      <c r="B49" s="51" t="n">
        <v>110</v>
      </c>
      <c r="C49" s="51" t="s">
        <v>144</v>
      </c>
      <c r="D49" s="51" t="s">
        <v>240</v>
      </c>
      <c r="E49" s="18" t="s">
        <v>248</v>
      </c>
      <c r="F49" s="50" t="s">
        <v>249</v>
      </c>
      <c r="G49" s="50"/>
      <c r="H49" s="50"/>
      <c r="I49" s="50"/>
    </row>
    <row r="50" customFormat="false" ht="15.75" hidden="false" customHeight="false" outlineLevel="0" collapsed="false">
      <c r="A50" s="51" t="s">
        <v>118</v>
      </c>
      <c r="B50" s="51"/>
      <c r="C50" s="51" t="s">
        <v>251</v>
      </c>
      <c r="D50" s="51" t="s">
        <v>238</v>
      </c>
      <c r="E50" s="18" t="s">
        <v>211</v>
      </c>
      <c r="F50" s="50" t="s">
        <v>193</v>
      </c>
      <c r="G50" s="50"/>
      <c r="H50" s="50"/>
      <c r="I50" s="50"/>
    </row>
    <row r="51" customFormat="false" ht="15.75" hidden="false" customHeight="false" outlineLevel="0" collapsed="false">
      <c r="A51" s="52" t="s">
        <v>299</v>
      </c>
      <c r="B51" s="71" t="n">
        <v>45</v>
      </c>
      <c r="C51" s="52" t="s">
        <v>190</v>
      </c>
      <c r="D51" s="52" t="s">
        <v>234</v>
      </c>
      <c r="E51" s="18" t="s">
        <v>192</v>
      </c>
      <c r="F51" s="50" t="s">
        <v>193</v>
      </c>
      <c r="G51" s="62" t="s">
        <v>300</v>
      </c>
      <c r="H51" s="50"/>
      <c r="I51" s="50"/>
    </row>
    <row r="52" customFormat="false" ht="15.75" hidden="false" customHeight="false" outlineLevel="0" collapsed="false">
      <c r="A52" s="72" t="s">
        <v>301</v>
      </c>
      <c r="B52" s="53" t="n">
        <v>75</v>
      </c>
      <c r="C52" s="52" t="s">
        <v>190</v>
      </c>
      <c r="D52" s="72" t="s">
        <v>302</v>
      </c>
      <c r="E52" s="18" t="s">
        <v>192</v>
      </c>
      <c r="F52" s="50" t="s">
        <v>193</v>
      </c>
      <c r="G52" s="55"/>
      <c r="H52" s="50"/>
      <c r="I52" s="50"/>
    </row>
    <row r="53" customFormat="false" ht="15.75" hidden="false" customHeight="false" outlineLevel="0" collapsed="false">
      <c r="A53" s="52" t="s">
        <v>303</v>
      </c>
      <c r="B53" s="53" t="n">
        <v>120</v>
      </c>
      <c r="C53" s="52" t="s">
        <v>144</v>
      </c>
      <c r="D53" s="52" t="s">
        <v>268</v>
      </c>
      <c r="E53" s="18" t="s">
        <v>192</v>
      </c>
      <c r="F53" s="50" t="s">
        <v>193</v>
      </c>
      <c r="G53" s="57" t="s">
        <v>304</v>
      </c>
      <c r="H53" s="50" t="s">
        <v>294</v>
      </c>
      <c r="I53" s="50"/>
    </row>
    <row r="54" customFormat="false" ht="15.75" hidden="true" customHeight="false" outlineLevel="0" collapsed="false">
      <c r="A54" s="52" t="s">
        <v>305</v>
      </c>
      <c r="B54" s="53" t="n">
        <v>102</v>
      </c>
      <c r="C54" s="52" t="s">
        <v>144</v>
      </c>
      <c r="D54" s="52" t="s">
        <v>266</v>
      </c>
      <c r="E54" s="18" t="s">
        <v>192</v>
      </c>
      <c r="F54" s="50"/>
      <c r="G54" s="50"/>
      <c r="H54" s="50"/>
      <c r="I54" s="50"/>
    </row>
    <row r="55" customFormat="false" ht="15.75" hidden="true" customHeight="false" outlineLevel="0" collapsed="false">
      <c r="A55" s="51"/>
      <c r="B55" s="51"/>
      <c r="C55" s="51" t="s">
        <v>251</v>
      </c>
      <c r="D55" s="51"/>
      <c r="G55" s="50"/>
      <c r="H55" s="50"/>
      <c r="I55" s="50"/>
    </row>
    <row r="56" customFormat="false" ht="15.75" hidden="false" customHeight="false" outlineLevel="0" collapsed="false">
      <c r="A56" s="51"/>
      <c r="B56" s="51"/>
      <c r="C56" s="51"/>
      <c r="D56" s="51"/>
      <c r="F56" s="50"/>
      <c r="G56" s="73" t="s">
        <v>306</v>
      </c>
      <c r="H56" s="74" t="n">
        <v>155</v>
      </c>
      <c r="I56" s="75"/>
    </row>
    <row r="57" customFormat="false" ht="15.75" hidden="false" customHeight="false" outlineLevel="0" collapsed="false">
      <c r="A57" s="51"/>
      <c r="B57" s="51"/>
      <c r="C57" s="51"/>
      <c r="D57" s="51"/>
      <c r="F57" s="50"/>
      <c r="G57" s="76" t="s">
        <v>307</v>
      </c>
      <c r="H57" s="74" t="n">
        <v>324</v>
      </c>
      <c r="I57" s="75" t="s">
        <v>308</v>
      </c>
    </row>
    <row r="58" customFormat="false" ht="15.75" hidden="false" customHeight="false" outlineLevel="0" collapsed="false">
      <c r="A58" s="51"/>
      <c r="B58" s="51"/>
      <c r="C58" s="51"/>
      <c r="D58" s="51"/>
      <c r="F58" s="50"/>
      <c r="G58" s="77" t="s">
        <v>309</v>
      </c>
      <c r="H58" s="74" t="n">
        <v>126</v>
      </c>
      <c r="I58" s="75"/>
    </row>
    <row r="59" customFormat="false" ht="15.75" hidden="false" customHeight="false" outlineLevel="0" collapsed="false">
      <c r="A59" s="51"/>
      <c r="B59" s="51"/>
      <c r="C59" s="51"/>
      <c r="D59" s="51"/>
      <c r="F59" s="50"/>
      <c r="G59" s="77" t="s">
        <v>310</v>
      </c>
      <c r="H59" s="74" t="n">
        <v>149</v>
      </c>
      <c r="I59" s="75"/>
    </row>
    <row r="60" customFormat="false" ht="15.75" hidden="false" customHeight="false" outlineLevel="0" collapsed="false">
      <c r="A60" s="51"/>
      <c r="B60" s="51"/>
      <c r="C60" s="51"/>
      <c r="D60" s="51"/>
      <c r="F60" s="50"/>
      <c r="G60" s="77" t="s">
        <v>311</v>
      </c>
      <c r="H60" s="74" t="n">
        <v>684</v>
      </c>
      <c r="I60" s="75" t="s">
        <v>312</v>
      </c>
    </row>
    <row r="61" customFormat="false" ht="15.75" hidden="false" customHeight="false" outlineLevel="0" collapsed="false">
      <c r="A61" s="51"/>
      <c r="B61" s="51"/>
      <c r="C61" s="51"/>
      <c r="D61" s="51"/>
      <c r="F61" s="50"/>
      <c r="G61" s="73" t="s">
        <v>313</v>
      </c>
      <c r="H61" s="74" t="n">
        <v>109</v>
      </c>
      <c r="I61" s="75"/>
    </row>
    <row r="62" customFormat="false" ht="15.75" hidden="false" customHeight="false" outlineLevel="0" collapsed="false">
      <c r="A62" s="51"/>
      <c r="B62" s="51"/>
      <c r="C62" s="51"/>
      <c r="D62" s="51"/>
      <c r="F62" s="50"/>
      <c r="G62" s="77" t="s">
        <v>314</v>
      </c>
      <c r="H62" s="74" t="n">
        <v>273</v>
      </c>
      <c r="I62" s="75"/>
    </row>
    <row r="63" customFormat="false" ht="15.75" hidden="false" customHeight="false" outlineLevel="0" collapsed="false">
      <c r="A63" s="51"/>
      <c r="B63" s="51"/>
      <c r="C63" s="51"/>
      <c r="D63" s="51"/>
      <c r="F63" s="50"/>
      <c r="G63" s="76" t="s">
        <v>315</v>
      </c>
      <c r="H63" s="77" t="n">
        <v>49</v>
      </c>
      <c r="I63" s="75"/>
    </row>
    <row r="64" customFormat="false" ht="15.75" hidden="false" customHeight="false" outlineLevel="0" collapsed="false">
      <c r="A64" s="51"/>
      <c r="B64" s="51"/>
      <c r="C64" s="51"/>
      <c r="D64" s="51"/>
      <c r="F64" s="50"/>
      <c r="G64" s="77" t="s">
        <v>316</v>
      </c>
      <c r="H64" s="74" t="n">
        <v>160</v>
      </c>
      <c r="I64" s="75"/>
    </row>
    <row r="65" customFormat="false" ht="15.75" hidden="false" customHeight="false" outlineLevel="0" collapsed="false">
      <c r="A65" s="51"/>
      <c r="B65" s="51"/>
      <c r="C65" s="51"/>
      <c r="D65" s="51"/>
      <c r="F65" s="50"/>
      <c r="G65" s="75" t="s">
        <v>317</v>
      </c>
      <c r="H65" s="75" t="n">
        <f aca="false">SUM(H56:H64)</f>
        <v>2029</v>
      </c>
      <c r="I65" s="75"/>
    </row>
    <row r="66" customFormat="false" ht="15.75" hidden="false" customHeight="false" outlineLevel="0" collapsed="false">
      <c r="A66" s="51"/>
      <c r="B66" s="51"/>
      <c r="C66" s="51"/>
      <c r="D66" s="51"/>
      <c r="F66" s="50"/>
      <c r="G66" s="50"/>
      <c r="H66" s="50"/>
      <c r="I66" s="50"/>
    </row>
    <row r="67" customFormat="false" ht="15.75" hidden="false" customHeight="false" outlineLevel="0" collapsed="false">
      <c r="A67" s="51"/>
      <c r="B67" s="51"/>
      <c r="C67" s="51"/>
      <c r="D67" s="51"/>
      <c r="F67" s="50"/>
      <c r="G67" s="50"/>
      <c r="H67" s="50"/>
      <c r="I67" s="50"/>
    </row>
    <row r="68" customFormat="false" ht="15.75" hidden="false" customHeight="false" outlineLevel="0" collapsed="false">
      <c r="A68" s="51"/>
      <c r="B68" s="51"/>
      <c r="C68" s="51"/>
      <c r="D68" s="51"/>
      <c r="F68" s="50"/>
      <c r="G68" s="50"/>
      <c r="H68" s="50"/>
      <c r="I68" s="50"/>
    </row>
    <row r="69" customFormat="false" ht="15.75" hidden="false" customHeight="false" outlineLevel="0" collapsed="false">
      <c r="A69" s="51"/>
      <c r="B69" s="51"/>
      <c r="C69" s="51"/>
      <c r="D69" s="51"/>
      <c r="F69" s="50"/>
      <c r="G69" s="50"/>
      <c r="H69" s="50"/>
      <c r="I69" s="50"/>
    </row>
    <row r="70" customFormat="false" ht="15.75" hidden="false" customHeight="false" outlineLevel="0" collapsed="false">
      <c r="A70" s="51"/>
      <c r="B70" s="51"/>
      <c r="C70" s="51"/>
      <c r="D70" s="51"/>
      <c r="F70" s="50"/>
      <c r="G70" s="50"/>
      <c r="H70" s="50" t="s">
        <v>318</v>
      </c>
      <c r="I70" s="50"/>
    </row>
    <row r="71" customFormat="false" ht="15.75" hidden="false" customHeight="false" outlineLevel="0" collapsed="false">
      <c r="A71" s="51"/>
      <c r="B71" s="51"/>
      <c r="C71" s="51"/>
      <c r="D71" s="51"/>
      <c r="F71" s="50"/>
      <c r="G71" s="50"/>
      <c r="H71" s="75" t="s">
        <v>319</v>
      </c>
      <c r="I71" s="75" t="s">
        <v>320</v>
      </c>
      <c r="J71" s="51" t="s">
        <v>79</v>
      </c>
      <c r="K71" s="51" t="s">
        <v>321</v>
      </c>
      <c r="L71" s="51" t="s">
        <v>29</v>
      </c>
    </row>
    <row r="72" customFormat="false" ht="15.75" hidden="false" customHeight="false" outlineLevel="0" collapsed="false">
      <c r="A72" s="51"/>
      <c r="B72" s="51"/>
      <c r="C72" s="51"/>
      <c r="D72" s="51"/>
      <c r="F72" s="50"/>
      <c r="G72" s="50"/>
      <c r="H72" s="75" t="s">
        <v>322</v>
      </c>
      <c r="I72" s="75" t="s">
        <v>323</v>
      </c>
      <c r="J72" s="51" t="s">
        <v>324</v>
      </c>
      <c r="K72" s="51"/>
      <c r="L72" s="51"/>
    </row>
    <row r="73" customFormat="false" ht="15.75" hidden="false" customHeight="false" outlineLevel="0" collapsed="false">
      <c r="A73" s="51"/>
      <c r="B73" s="51"/>
      <c r="C73" s="51"/>
      <c r="D73" s="51"/>
      <c r="F73" s="50"/>
      <c r="G73" s="50"/>
      <c r="H73" s="75" t="s">
        <v>322</v>
      </c>
      <c r="I73" s="75" t="s">
        <v>148</v>
      </c>
      <c r="J73" s="51" t="s">
        <v>325</v>
      </c>
      <c r="K73" s="51"/>
      <c r="L73" s="51"/>
    </row>
    <row r="74" customFormat="false" ht="15.75" hidden="false" customHeight="false" outlineLevel="0" collapsed="false">
      <c r="A74" s="51"/>
      <c r="B74" s="51"/>
      <c r="C74" s="51"/>
      <c r="D74" s="51"/>
      <c r="F74" s="50"/>
      <c r="G74" s="50"/>
      <c r="H74" s="75" t="s">
        <v>326</v>
      </c>
      <c r="I74" s="75" t="s">
        <v>150</v>
      </c>
      <c r="J74" s="51" t="s">
        <v>81</v>
      </c>
      <c r="K74" s="51"/>
      <c r="L74" s="51"/>
    </row>
    <row r="75" customFormat="false" ht="15.75" hidden="false" customHeight="false" outlineLevel="0" collapsed="false">
      <c r="A75" s="51"/>
      <c r="B75" s="51"/>
      <c r="C75" s="51"/>
      <c r="D75" s="51"/>
      <c r="F75" s="50"/>
      <c r="G75" s="50"/>
      <c r="H75" s="50"/>
      <c r="I75" s="50"/>
    </row>
    <row r="76" customFormat="false" ht="15.75" hidden="false" customHeight="false" outlineLevel="0" collapsed="false">
      <c r="A76" s="51"/>
      <c r="B76" s="51"/>
      <c r="C76" s="51"/>
      <c r="D76" s="51"/>
      <c r="F76" s="50"/>
      <c r="G76" s="50"/>
      <c r="H76" s="50"/>
      <c r="I76" s="50"/>
    </row>
    <row r="77" customFormat="false" ht="15.75" hidden="false" customHeight="false" outlineLevel="0" collapsed="false">
      <c r="A77" s="51"/>
      <c r="B77" s="51"/>
      <c r="C77" s="51"/>
      <c r="D77" s="51"/>
      <c r="F77" s="50"/>
      <c r="G77" s="50"/>
      <c r="H77" s="50"/>
      <c r="I77" s="50"/>
    </row>
    <row r="78" customFormat="false" ht="15.75" hidden="false" customHeight="false" outlineLevel="0" collapsed="false">
      <c r="A78" s="51"/>
      <c r="B78" s="51"/>
      <c r="C78" s="51"/>
      <c r="D78" s="51"/>
      <c r="F78" s="50"/>
      <c r="G78" s="50"/>
      <c r="H78" s="50"/>
      <c r="I78" s="50"/>
    </row>
    <row r="79" customFormat="false" ht="15.75" hidden="false" customHeight="false" outlineLevel="0" collapsed="false">
      <c r="A79" s="51"/>
      <c r="B79" s="51"/>
      <c r="C79" s="51"/>
      <c r="D79" s="51"/>
      <c r="F79" s="50"/>
      <c r="G79" s="50"/>
      <c r="H79" s="50"/>
      <c r="I79" s="50"/>
    </row>
    <row r="80" customFormat="false" ht="15.75" hidden="false" customHeight="false" outlineLevel="0" collapsed="false">
      <c r="A80" s="51"/>
      <c r="B80" s="51"/>
      <c r="C80" s="51"/>
      <c r="D80" s="51"/>
      <c r="F80" s="50"/>
      <c r="G80" s="50"/>
      <c r="H80" s="50"/>
      <c r="I80" s="50"/>
    </row>
    <row r="81" customFormat="false" ht="15.75" hidden="false" customHeight="false" outlineLevel="0" collapsed="false">
      <c r="A81" s="51"/>
      <c r="B81" s="51"/>
      <c r="C81" s="51"/>
      <c r="D81" s="51"/>
      <c r="F81" s="50"/>
      <c r="G81" s="50"/>
      <c r="H81" s="50"/>
      <c r="I81" s="50"/>
    </row>
    <row r="82" customFormat="false" ht="15.75" hidden="false" customHeight="false" outlineLevel="0" collapsed="false">
      <c r="A82" s="51"/>
      <c r="B82" s="51"/>
      <c r="C82" s="51"/>
      <c r="D82" s="51"/>
      <c r="F82" s="50"/>
      <c r="G82" s="50"/>
      <c r="H82" s="50"/>
      <c r="I82" s="50"/>
    </row>
    <row r="83" customFormat="false" ht="15.75" hidden="false" customHeight="false" outlineLevel="0" collapsed="false">
      <c r="A83" s="51"/>
      <c r="B83" s="51"/>
      <c r="C83" s="51"/>
      <c r="D83" s="51"/>
      <c r="F83" s="50"/>
      <c r="G83" s="50"/>
      <c r="H83" s="50"/>
      <c r="I83" s="50"/>
    </row>
    <row r="84" customFormat="false" ht="15.75" hidden="false" customHeight="false" outlineLevel="0" collapsed="false">
      <c r="A84" s="51"/>
      <c r="B84" s="51"/>
      <c r="C84" s="51"/>
      <c r="D84" s="51"/>
      <c r="F84" s="50"/>
      <c r="G84" s="50"/>
      <c r="H84" s="50"/>
      <c r="I84" s="50"/>
    </row>
    <row r="85" customFormat="false" ht="15.75" hidden="false" customHeight="false" outlineLevel="0" collapsed="false">
      <c r="A85" s="51"/>
      <c r="B85" s="51"/>
      <c r="C85" s="51"/>
      <c r="D85" s="51"/>
      <c r="F85" s="50"/>
      <c r="G85" s="50"/>
      <c r="H85" s="50"/>
      <c r="I85" s="50"/>
    </row>
    <row r="86" customFormat="false" ht="15.75" hidden="false" customHeight="false" outlineLevel="0" collapsed="false">
      <c r="A86" s="51"/>
      <c r="B86" s="51"/>
      <c r="C86" s="51"/>
      <c r="D86" s="51"/>
      <c r="F86" s="50"/>
      <c r="G86" s="50"/>
      <c r="H86" s="50"/>
      <c r="I86" s="50"/>
    </row>
    <row r="87" customFormat="false" ht="15.75" hidden="false" customHeight="false" outlineLevel="0" collapsed="false">
      <c r="A87" s="51"/>
      <c r="B87" s="51"/>
      <c r="C87" s="51"/>
      <c r="D87" s="51"/>
      <c r="F87" s="50"/>
      <c r="G87" s="50"/>
      <c r="H87" s="50"/>
      <c r="I87" s="50"/>
    </row>
    <row r="88" customFormat="false" ht="15.75" hidden="false" customHeight="false" outlineLevel="0" collapsed="false">
      <c r="A88" s="51"/>
      <c r="B88" s="51"/>
      <c r="C88" s="51"/>
      <c r="D88" s="51"/>
      <c r="F88" s="50"/>
      <c r="G88" s="50"/>
      <c r="H88" s="50"/>
      <c r="I88" s="50"/>
    </row>
    <row r="89" customFormat="false" ht="15.75" hidden="false" customHeight="false" outlineLevel="0" collapsed="false">
      <c r="A89" s="51"/>
      <c r="B89" s="51"/>
      <c r="C89" s="51"/>
      <c r="D89" s="51"/>
      <c r="F89" s="50"/>
      <c r="G89" s="50"/>
      <c r="H89" s="50"/>
      <c r="I89" s="50"/>
    </row>
    <row r="90" customFormat="false" ht="15.75" hidden="false" customHeight="false" outlineLevel="0" collapsed="false">
      <c r="A90" s="51"/>
      <c r="B90" s="51"/>
      <c r="C90" s="51"/>
      <c r="D90" s="51"/>
      <c r="F90" s="50"/>
      <c r="G90" s="50"/>
      <c r="H90" s="50"/>
      <c r="I90" s="50"/>
    </row>
    <row r="91" customFormat="false" ht="15.75" hidden="false" customHeight="false" outlineLevel="0" collapsed="false">
      <c r="A91" s="51"/>
      <c r="B91" s="51"/>
      <c r="C91" s="51"/>
      <c r="D91" s="51"/>
      <c r="F91" s="50"/>
      <c r="G91" s="50"/>
      <c r="H91" s="50"/>
      <c r="I91" s="50"/>
    </row>
    <row r="92" customFormat="false" ht="15.75" hidden="false" customHeight="false" outlineLevel="0" collapsed="false">
      <c r="A92" s="51"/>
      <c r="B92" s="51"/>
      <c r="C92" s="51"/>
      <c r="D92" s="51"/>
      <c r="F92" s="50"/>
      <c r="G92" s="50"/>
      <c r="H92" s="50"/>
      <c r="I92" s="50"/>
    </row>
    <row r="93" customFormat="false" ht="15.75" hidden="false" customHeight="false" outlineLevel="0" collapsed="false">
      <c r="A93" s="51"/>
      <c r="B93" s="51"/>
      <c r="C93" s="51"/>
      <c r="D93" s="51"/>
      <c r="F93" s="50"/>
      <c r="G93" s="50"/>
      <c r="H93" s="50"/>
      <c r="I93" s="50"/>
    </row>
    <row r="94" customFormat="false" ht="15.75" hidden="false" customHeight="false" outlineLevel="0" collapsed="false">
      <c r="A94" s="51"/>
      <c r="B94" s="51"/>
      <c r="C94" s="51"/>
      <c r="D94" s="51"/>
      <c r="F94" s="50"/>
      <c r="G94" s="50"/>
      <c r="H94" s="50"/>
      <c r="I94" s="50"/>
    </row>
    <row r="95" customFormat="false" ht="15.75" hidden="false" customHeight="false" outlineLevel="0" collapsed="false">
      <c r="A95" s="51"/>
      <c r="B95" s="51"/>
      <c r="C95" s="51"/>
      <c r="D95" s="51"/>
      <c r="F95" s="50"/>
      <c r="G95" s="50"/>
      <c r="H95" s="50"/>
      <c r="I95" s="50"/>
    </row>
    <row r="96" customFormat="false" ht="15.75" hidden="false" customHeight="false" outlineLevel="0" collapsed="false">
      <c r="A96" s="51"/>
      <c r="B96" s="51"/>
      <c r="C96" s="51"/>
      <c r="D96" s="51"/>
      <c r="F96" s="50"/>
      <c r="G96" s="50"/>
      <c r="H96" s="50"/>
      <c r="I96" s="50"/>
    </row>
    <row r="97" customFormat="false" ht="15.75" hidden="false" customHeight="false" outlineLevel="0" collapsed="false">
      <c r="A97" s="51"/>
      <c r="B97" s="51"/>
      <c r="C97" s="51"/>
      <c r="D97" s="51"/>
      <c r="F97" s="50"/>
      <c r="G97" s="50"/>
      <c r="H97" s="50"/>
      <c r="I97" s="50"/>
      <c r="Y97" s="18" t="s">
        <v>144</v>
      </c>
    </row>
    <row r="98" customFormat="false" ht="15.75" hidden="false" customHeight="false" outlineLevel="0" collapsed="false">
      <c r="A98" s="51"/>
      <c r="B98" s="51"/>
      <c r="C98" s="51"/>
      <c r="D98" s="51"/>
      <c r="F98" s="50"/>
      <c r="G98" s="50"/>
      <c r="H98" s="50"/>
      <c r="I98" s="50"/>
      <c r="Y98" s="18" t="s">
        <v>137</v>
      </c>
    </row>
    <row r="99" customFormat="false" ht="15.75" hidden="false" customHeight="false" outlineLevel="0" collapsed="false">
      <c r="A99" s="51"/>
      <c r="B99" s="51"/>
      <c r="C99" s="51"/>
      <c r="D99" s="51"/>
      <c r="F99" s="50"/>
      <c r="G99" s="50"/>
      <c r="H99" s="50"/>
      <c r="I99" s="50"/>
      <c r="Y99" s="18" t="s">
        <v>190</v>
      </c>
    </row>
    <row r="100" customFormat="false" ht="15.75" hidden="false" customHeight="false" outlineLevel="0" collapsed="false">
      <c r="A100" s="51"/>
      <c r="B100" s="51"/>
      <c r="C100" s="51"/>
      <c r="D100" s="51"/>
      <c r="F100" s="50"/>
      <c r="G100" s="50"/>
      <c r="H100" s="50"/>
      <c r="I100" s="50"/>
      <c r="Y100" s="18" t="s">
        <v>246</v>
      </c>
    </row>
    <row r="101" customFormat="false" ht="15.75" hidden="false" customHeight="false" outlineLevel="0" collapsed="false">
      <c r="A101" s="51"/>
      <c r="B101" s="51"/>
      <c r="C101" s="51"/>
      <c r="D101" s="51"/>
      <c r="F101" s="50"/>
      <c r="G101" s="50"/>
      <c r="H101" s="50"/>
      <c r="I101" s="50"/>
      <c r="Y101" s="18" t="s">
        <v>275</v>
      </c>
    </row>
    <row r="102" customFormat="false" ht="15.75" hidden="false" customHeight="false" outlineLevel="0" collapsed="false">
      <c r="A102" s="51"/>
      <c r="B102" s="51"/>
      <c r="C102" s="51"/>
      <c r="D102" s="51"/>
      <c r="F102" s="50"/>
      <c r="G102" s="50"/>
      <c r="H102" s="50"/>
      <c r="I102" s="50"/>
      <c r="Y102" s="18" t="s">
        <v>220</v>
      </c>
    </row>
    <row r="103" customFormat="false" ht="15.75" hidden="false" customHeight="false" outlineLevel="0" collapsed="false">
      <c r="A103" s="51"/>
      <c r="B103" s="51"/>
      <c r="C103" s="51"/>
      <c r="D103" s="51"/>
      <c r="F103" s="50"/>
      <c r="G103" s="50"/>
      <c r="H103" s="50"/>
      <c r="I103" s="50"/>
      <c r="Y103" s="18" t="s">
        <v>251</v>
      </c>
    </row>
    <row r="104" customFormat="false" ht="15.75" hidden="false" customHeight="false" outlineLevel="0" collapsed="false">
      <c r="A104" s="51"/>
      <c r="B104" s="51"/>
      <c r="C104" s="51"/>
      <c r="D104" s="51"/>
      <c r="F104" s="50"/>
      <c r="G104" s="50"/>
      <c r="H104" s="50"/>
      <c r="I104" s="50"/>
    </row>
    <row r="105" customFormat="false" ht="15.75" hidden="false" customHeight="false" outlineLevel="0" collapsed="false">
      <c r="A105" s="51"/>
      <c r="B105" s="51"/>
      <c r="C105" s="51"/>
      <c r="D105" s="51"/>
      <c r="F105" s="50"/>
      <c r="G105" s="50"/>
      <c r="H105" s="50"/>
      <c r="I105" s="50"/>
    </row>
    <row r="106" customFormat="false" ht="15.75" hidden="false" customHeight="false" outlineLevel="0" collapsed="false">
      <c r="A106" s="51"/>
      <c r="B106" s="51"/>
      <c r="C106" s="51"/>
      <c r="D106" s="51"/>
      <c r="F106" s="50"/>
      <c r="G106" s="50"/>
      <c r="H106" s="50"/>
      <c r="I106" s="50"/>
    </row>
    <row r="107" customFormat="false" ht="15.75" hidden="false" customHeight="false" outlineLevel="0" collapsed="false">
      <c r="A107" s="51"/>
      <c r="B107" s="51"/>
      <c r="C107" s="51"/>
      <c r="D107" s="51"/>
      <c r="F107" s="50"/>
      <c r="G107" s="50"/>
      <c r="H107" s="50"/>
      <c r="I107" s="50"/>
    </row>
    <row r="108" customFormat="false" ht="15.75" hidden="false" customHeight="false" outlineLevel="0" collapsed="false">
      <c r="A108" s="51"/>
      <c r="B108" s="51"/>
      <c r="C108" s="51"/>
      <c r="D108" s="51"/>
      <c r="F108" s="50"/>
      <c r="G108" s="50"/>
      <c r="H108" s="50"/>
      <c r="I108" s="50"/>
    </row>
    <row r="109" customFormat="false" ht="15.75" hidden="false" customHeight="false" outlineLevel="0" collapsed="false">
      <c r="A109" s="51"/>
      <c r="B109" s="51"/>
      <c r="C109" s="51"/>
      <c r="D109" s="51"/>
      <c r="F109" s="50"/>
      <c r="G109" s="50"/>
      <c r="H109" s="50"/>
      <c r="I109" s="50"/>
    </row>
    <row r="110" customFormat="false" ht="15.75" hidden="false" customHeight="false" outlineLevel="0" collapsed="false">
      <c r="A110" s="51"/>
      <c r="B110" s="51"/>
      <c r="C110" s="51"/>
      <c r="D110" s="51"/>
      <c r="F110" s="50"/>
      <c r="G110" s="50"/>
      <c r="H110" s="50"/>
      <c r="I110" s="50"/>
    </row>
    <row r="111" customFormat="false" ht="15.75" hidden="false" customHeight="false" outlineLevel="0" collapsed="false">
      <c r="A111" s="51"/>
      <c r="B111" s="51"/>
      <c r="C111" s="51"/>
      <c r="D111" s="51"/>
      <c r="F111" s="50"/>
      <c r="G111" s="50"/>
      <c r="H111" s="50"/>
      <c r="I111" s="50"/>
    </row>
    <row r="112" customFormat="false" ht="15.75" hidden="false" customHeight="false" outlineLevel="0" collapsed="false">
      <c r="A112" s="51"/>
      <c r="B112" s="51"/>
      <c r="C112" s="51"/>
      <c r="D112" s="51"/>
      <c r="F112" s="50"/>
      <c r="G112" s="50"/>
      <c r="H112" s="50"/>
      <c r="I112" s="50"/>
    </row>
    <row r="113" customFormat="false" ht="15.75" hidden="false" customHeight="false" outlineLevel="0" collapsed="false">
      <c r="A113" s="51"/>
      <c r="B113" s="51"/>
      <c r="C113" s="51"/>
      <c r="D113" s="51"/>
      <c r="F113" s="50"/>
      <c r="G113" s="50"/>
      <c r="H113" s="50"/>
      <c r="I113" s="50"/>
    </row>
    <row r="114" customFormat="false" ht="15.75" hidden="false" customHeight="false" outlineLevel="0" collapsed="false">
      <c r="A114" s="51"/>
      <c r="B114" s="51"/>
      <c r="C114" s="51"/>
      <c r="D114" s="51"/>
      <c r="F114" s="50"/>
      <c r="G114" s="50"/>
      <c r="H114" s="50"/>
      <c r="I114" s="50"/>
    </row>
    <row r="115" customFormat="false" ht="15.75" hidden="false" customHeight="false" outlineLevel="0" collapsed="false">
      <c r="A115" s="51"/>
      <c r="B115" s="51"/>
      <c r="C115" s="51"/>
      <c r="D115" s="51"/>
      <c r="F115" s="50"/>
      <c r="G115" s="50"/>
      <c r="H115" s="50"/>
      <c r="I115" s="50"/>
    </row>
    <row r="116" customFormat="false" ht="15.75" hidden="false" customHeight="false" outlineLevel="0" collapsed="false">
      <c r="A116" s="51"/>
      <c r="B116" s="51"/>
      <c r="C116" s="51"/>
      <c r="D116" s="51"/>
      <c r="F116" s="50"/>
      <c r="G116" s="50"/>
      <c r="H116" s="50"/>
      <c r="I116" s="50"/>
    </row>
    <row r="117" customFormat="false" ht="15.75" hidden="false" customHeight="false" outlineLevel="0" collapsed="false">
      <c r="A117" s="51"/>
      <c r="B117" s="51"/>
      <c r="C117" s="51"/>
      <c r="D117" s="51"/>
      <c r="F117" s="50"/>
      <c r="G117" s="50"/>
      <c r="H117" s="50"/>
      <c r="I117" s="50"/>
    </row>
    <row r="118" customFormat="false" ht="15.75" hidden="false" customHeight="false" outlineLevel="0" collapsed="false">
      <c r="A118" s="51"/>
      <c r="B118" s="51"/>
      <c r="C118" s="51"/>
      <c r="D118" s="51"/>
      <c r="F118" s="50"/>
      <c r="G118" s="50"/>
      <c r="H118" s="50"/>
      <c r="I118" s="50"/>
    </row>
    <row r="119" customFormat="false" ht="15.75" hidden="false" customHeight="false" outlineLevel="0" collapsed="false">
      <c r="A119" s="51"/>
      <c r="B119" s="51"/>
      <c r="C119" s="51"/>
      <c r="D119" s="51"/>
      <c r="F119" s="50"/>
      <c r="G119" s="50"/>
      <c r="H119" s="50"/>
      <c r="I119" s="50"/>
    </row>
    <row r="120" customFormat="false" ht="15.75" hidden="false" customHeight="false" outlineLevel="0" collapsed="false">
      <c r="A120" s="51"/>
      <c r="B120" s="51"/>
      <c r="C120" s="51"/>
      <c r="D120" s="51"/>
      <c r="F120" s="50"/>
      <c r="G120" s="50"/>
      <c r="H120" s="50"/>
      <c r="I120" s="50"/>
    </row>
    <row r="121" customFormat="false" ht="15.75" hidden="false" customHeight="false" outlineLevel="0" collapsed="false">
      <c r="A121" s="51"/>
      <c r="B121" s="51"/>
      <c r="C121" s="51"/>
      <c r="D121" s="51"/>
      <c r="F121" s="50"/>
      <c r="G121" s="50"/>
      <c r="H121" s="50"/>
      <c r="I121" s="50"/>
    </row>
    <row r="122" customFormat="false" ht="15.75" hidden="false" customHeight="false" outlineLevel="0" collapsed="false">
      <c r="A122" s="51"/>
      <c r="B122" s="51"/>
      <c r="C122" s="51"/>
      <c r="D122" s="51"/>
      <c r="F122" s="50"/>
      <c r="G122" s="50"/>
      <c r="H122" s="50"/>
      <c r="I122" s="50"/>
    </row>
    <row r="123" customFormat="false" ht="15.75" hidden="false" customHeight="false" outlineLevel="0" collapsed="false">
      <c r="A123" s="51"/>
      <c r="B123" s="51"/>
      <c r="C123" s="51"/>
      <c r="D123" s="51"/>
      <c r="F123" s="50"/>
      <c r="G123" s="50"/>
      <c r="H123" s="50"/>
      <c r="I123" s="50"/>
    </row>
    <row r="124" customFormat="false" ht="15.75" hidden="false" customHeight="false" outlineLevel="0" collapsed="false">
      <c r="A124" s="51"/>
      <c r="B124" s="51"/>
      <c r="C124" s="51"/>
      <c r="D124" s="51"/>
      <c r="F124" s="50"/>
      <c r="G124" s="50"/>
      <c r="H124" s="50"/>
      <c r="I124" s="50"/>
    </row>
    <row r="125" customFormat="false" ht="15.75" hidden="false" customHeight="false" outlineLevel="0" collapsed="false">
      <c r="A125" s="51"/>
      <c r="B125" s="51"/>
      <c r="C125" s="51"/>
      <c r="D125" s="51"/>
      <c r="F125" s="50"/>
      <c r="G125" s="50"/>
      <c r="H125" s="50"/>
      <c r="I125" s="50"/>
    </row>
    <row r="126" customFormat="false" ht="15.75" hidden="false" customHeight="false" outlineLevel="0" collapsed="false">
      <c r="F126" s="50"/>
      <c r="G126" s="50"/>
      <c r="H126" s="50"/>
      <c r="I126" s="50"/>
    </row>
    <row r="127" customFormat="false" ht="15.75" hidden="false" customHeight="false" outlineLevel="0" collapsed="false">
      <c r="F127" s="50"/>
      <c r="G127" s="50"/>
      <c r="H127" s="50"/>
      <c r="I127" s="50"/>
    </row>
    <row r="128" customFormat="false" ht="15.75" hidden="false" customHeight="false" outlineLevel="0" collapsed="false">
      <c r="F128" s="50"/>
      <c r="G128" s="50"/>
      <c r="H128" s="50"/>
      <c r="I128" s="50"/>
    </row>
    <row r="129" customFormat="false" ht="15.75" hidden="false" customHeight="false" outlineLevel="0" collapsed="false">
      <c r="F129" s="50"/>
      <c r="G129" s="50"/>
      <c r="H129" s="50"/>
      <c r="I129" s="50"/>
    </row>
    <row r="130" customFormat="false" ht="15.75" hidden="false" customHeight="false" outlineLevel="0" collapsed="false">
      <c r="F130" s="50"/>
      <c r="G130" s="50"/>
      <c r="H130" s="50"/>
      <c r="I130" s="50"/>
    </row>
    <row r="131" customFormat="false" ht="15.75" hidden="false" customHeight="false" outlineLevel="0" collapsed="false">
      <c r="F131" s="50"/>
      <c r="G131" s="50"/>
      <c r="H131" s="50"/>
      <c r="I131" s="50"/>
    </row>
    <row r="132" customFormat="false" ht="15.75" hidden="false" customHeight="false" outlineLevel="0" collapsed="false">
      <c r="F132" s="50"/>
      <c r="G132" s="50"/>
      <c r="H132" s="50"/>
      <c r="I132" s="50"/>
    </row>
    <row r="133" customFormat="false" ht="15.75" hidden="false" customHeight="false" outlineLevel="0" collapsed="false">
      <c r="F133" s="50"/>
      <c r="G133" s="50"/>
      <c r="H133" s="50"/>
      <c r="I133" s="50"/>
    </row>
    <row r="134" customFormat="false" ht="15.75" hidden="false" customHeight="false" outlineLevel="0" collapsed="false">
      <c r="F134" s="50"/>
      <c r="G134" s="50"/>
      <c r="H134" s="50"/>
      <c r="I134" s="50"/>
    </row>
    <row r="135" customFormat="false" ht="15.75" hidden="false" customHeight="false" outlineLevel="0" collapsed="false">
      <c r="F135" s="50"/>
      <c r="G135" s="50"/>
      <c r="H135" s="50"/>
      <c r="I135" s="50"/>
    </row>
    <row r="136" customFormat="false" ht="15.75" hidden="false" customHeight="false" outlineLevel="0" collapsed="false">
      <c r="F136" s="50"/>
      <c r="G136" s="50"/>
      <c r="H136" s="50"/>
      <c r="I136" s="50"/>
    </row>
    <row r="137" customFormat="false" ht="15.75" hidden="false" customHeight="false" outlineLevel="0" collapsed="false">
      <c r="F137" s="50"/>
      <c r="G137" s="50"/>
      <c r="H137" s="50"/>
      <c r="I137" s="50"/>
    </row>
    <row r="138" customFormat="false" ht="15.75" hidden="false" customHeight="false" outlineLevel="0" collapsed="false">
      <c r="F138" s="50"/>
      <c r="G138" s="50"/>
      <c r="H138" s="50"/>
      <c r="I138" s="50"/>
    </row>
    <row r="139" customFormat="false" ht="15.75" hidden="false" customHeight="false" outlineLevel="0" collapsed="false">
      <c r="F139" s="50"/>
      <c r="G139" s="50"/>
      <c r="H139" s="50"/>
      <c r="I139" s="50"/>
    </row>
    <row r="140" customFormat="false" ht="15.75" hidden="false" customHeight="false" outlineLevel="0" collapsed="false">
      <c r="F140" s="50"/>
      <c r="G140" s="50"/>
      <c r="H140" s="50"/>
      <c r="I140" s="50"/>
    </row>
    <row r="141" customFormat="false" ht="15.75" hidden="false" customHeight="false" outlineLevel="0" collapsed="false">
      <c r="F141" s="50"/>
      <c r="G141" s="50"/>
      <c r="H141" s="50"/>
      <c r="I141" s="50"/>
    </row>
    <row r="142" customFormat="false" ht="15.75" hidden="false" customHeight="false" outlineLevel="0" collapsed="false">
      <c r="F142" s="50"/>
      <c r="G142" s="50"/>
      <c r="H142" s="50"/>
      <c r="I142" s="50"/>
    </row>
    <row r="143" customFormat="false" ht="15.75" hidden="false" customHeight="false" outlineLevel="0" collapsed="false">
      <c r="F143" s="50"/>
      <c r="G143" s="50"/>
      <c r="H143" s="50"/>
      <c r="I143" s="50"/>
    </row>
    <row r="144" customFormat="false" ht="15.75" hidden="false" customHeight="false" outlineLevel="0" collapsed="false">
      <c r="F144" s="50"/>
      <c r="G144" s="50"/>
      <c r="H144" s="50"/>
      <c r="I144" s="50"/>
    </row>
    <row r="145" customFormat="false" ht="15.75" hidden="false" customHeight="false" outlineLevel="0" collapsed="false">
      <c r="F145" s="50"/>
      <c r="G145" s="50"/>
      <c r="H145" s="50"/>
      <c r="I145" s="50"/>
    </row>
    <row r="146" customFormat="false" ht="15.75" hidden="false" customHeight="false" outlineLevel="0" collapsed="false">
      <c r="F146" s="50"/>
      <c r="G146" s="50"/>
      <c r="H146" s="50"/>
      <c r="I146" s="50"/>
    </row>
    <row r="147" customFormat="false" ht="15.75" hidden="false" customHeight="false" outlineLevel="0" collapsed="false">
      <c r="F147" s="50"/>
      <c r="G147" s="50"/>
      <c r="H147" s="50"/>
      <c r="I147" s="50"/>
    </row>
    <row r="148" customFormat="false" ht="15.75" hidden="false" customHeight="false" outlineLevel="0" collapsed="false">
      <c r="F148" s="50"/>
      <c r="G148" s="50"/>
      <c r="H148" s="50"/>
      <c r="I148" s="50"/>
    </row>
    <row r="149" customFormat="false" ht="15.75" hidden="false" customHeight="false" outlineLevel="0" collapsed="false">
      <c r="F149" s="50"/>
      <c r="G149" s="50"/>
      <c r="H149" s="50"/>
      <c r="I149" s="50"/>
    </row>
    <row r="150" customFormat="false" ht="15.75" hidden="false" customHeight="false" outlineLevel="0" collapsed="false">
      <c r="F150" s="50"/>
      <c r="G150" s="50"/>
      <c r="H150" s="50"/>
      <c r="I150" s="50"/>
    </row>
    <row r="151" customFormat="false" ht="15.75" hidden="false" customHeight="false" outlineLevel="0" collapsed="false">
      <c r="F151" s="50"/>
      <c r="G151" s="50"/>
      <c r="H151" s="50"/>
      <c r="I151" s="50"/>
    </row>
    <row r="152" customFormat="false" ht="15.75" hidden="false" customHeight="false" outlineLevel="0" collapsed="false">
      <c r="F152" s="50"/>
      <c r="G152" s="50"/>
      <c r="H152" s="50"/>
      <c r="I152" s="50"/>
    </row>
    <row r="153" customFormat="false" ht="15.75" hidden="false" customHeight="false" outlineLevel="0" collapsed="false">
      <c r="F153" s="50"/>
      <c r="G153" s="50"/>
      <c r="H153" s="50"/>
      <c r="I153" s="50"/>
    </row>
    <row r="154" customFormat="false" ht="15.75" hidden="false" customHeight="false" outlineLevel="0" collapsed="false">
      <c r="F154" s="50"/>
      <c r="G154" s="50"/>
      <c r="H154" s="50"/>
      <c r="I154" s="50"/>
    </row>
    <row r="155" customFormat="false" ht="15.75" hidden="false" customHeight="false" outlineLevel="0" collapsed="false">
      <c r="F155" s="50"/>
      <c r="G155" s="50"/>
      <c r="H155" s="50"/>
      <c r="I155" s="50"/>
    </row>
    <row r="156" customFormat="false" ht="15.75" hidden="false" customHeight="false" outlineLevel="0" collapsed="false">
      <c r="F156" s="50"/>
      <c r="G156" s="50"/>
      <c r="H156" s="50"/>
      <c r="I156" s="50"/>
    </row>
    <row r="157" customFormat="false" ht="15.75" hidden="false" customHeight="false" outlineLevel="0" collapsed="false">
      <c r="F157" s="50"/>
      <c r="G157" s="50"/>
      <c r="H157" s="50"/>
      <c r="I157" s="50"/>
    </row>
    <row r="158" customFormat="false" ht="15.75" hidden="false" customHeight="false" outlineLevel="0" collapsed="false">
      <c r="F158" s="50"/>
      <c r="G158" s="50"/>
      <c r="H158" s="50"/>
      <c r="I158" s="50"/>
    </row>
    <row r="159" customFormat="false" ht="15.75" hidden="false" customHeight="false" outlineLevel="0" collapsed="false">
      <c r="F159" s="50"/>
      <c r="G159" s="50"/>
      <c r="H159" s="50"/>
      <c r="I159" s="50"/>
    </row>
    <row r="160" customFormat="false" ht="15.75" hidden="false" customHeight="false" outlineLevel="0" collapsed="false">
      <c r="F160" s="50"/>
      <c r="G160" s="50"/>
      <c r="H160" s="50"/>
      <c r="I160" s="50"/>
    </row>
    <row r="161" customFormat="false" ht="15.75" hidden="false" customHeight="false" outlineLevel="0" collapsed="false">
      <c r="F161" s="50"/>
      <c r="G161" s="50"/>
      <c r="H161" s="50"/>
      <c r="I161" s="50"/>
    </row>
    <row r="162" customFormat="false" ht="15.75" hidden="false" customHeight="false" outlineLevel="0" collapsed="false">
      <c r="F162" s="50"/>
      <c r="G162" s="50"/>
      <c r="H162" s="50"/>
      <c r="I162" s="50"/>
    </row>
    <row r="163" customFormat="false" ht="15.75" hidden="false" customHeight="false" outlineLevel="0" collapsed="false">
      <c r="F163" s="50"/>
      <c r="G163" s="50"/>
      <c r="H163" s="50"/>
      <c r="I163" s="50"/>
    </row>
    <row r="164" customFormat="false" ht="15.75" hidden="false" customHeight="false" outlineLevel="0" collapsed="false">
      <c r="F164" s="50"/>
      <c r="G164" s="50"/>
      <c r="H164" s="50"/>
      <c r="I164" s="50"/>
    </row>
    <row r="165" customFormat="false" ht="15.75" hidden="false" customHeight="false" outlineLevel="0" collapsed="false">
      <c r="F165" s="50"/>
      <c r="G165" s="50"/>
      <c r="H165" s="50"/>
      <c r="I165" s="50"/>
    </row>
    <row r="166" customFormat="false" ht="15.75" hidden="false" customHeight="false" outlineLevel="0" collapsed="false">
      <c r="F166" s="50"/>
      <c r="G166" s="50"/>
      <c r="H166" s="50"/>
      <c r="I166" s="50"/>
    </row>
    <row r="167" customFormat="false" ht="15.75" hidden="false" customHeight="false" outlineLevel="0" collapsed="false">
      <c r="F167" s="50"/>
      <c r="G167" s="50"/>
      <c r="H167" s="50"/>
      <c r="I167" s="50"/>
    </row>
    <row r="168" customFormat="false" ht="15.75" hidden="false" customHeight="false" outlineLevel="0" collapsed="false">
      <c r="F168" s="50"/>
      <c r="G168" s="50"/>
      <c r="H168" s="50"/>
      <c r="I168" s="50"/>
    </row>
    <row r="169" customFormat="false" ht="15.75" hidden="false" customHeight="false" outlineLevel="0" collapsed="false">
      <c r="F169" s="50"/>
      <c r="G169" s="50"/>
      <c r="H169" s="50"/>
      <c r="I169" s="50"/>
    </row>
    <row r="170" customFormat="false" ht="15.75" hidden="false" customHeight="false" outlineLevel="0" collapsed="false">
      <c r="F170" s="50"/>
      <c r="G170" s="50"/>
      <c r="H170" s="50"/>
      <c r="I170" s="50"/>
    </row>
    <row r="171" customFormat="false" ht="15.75" hidden="false" customHeight="false" outlineLevel="0" collapsed="false">
      <c r="F171" s="50"/>
      <c r="G171" s="50"/>
      <c r="H171" s="50"/>
      <c r="I171" s="50"/>
    </row>
    <row r="172" customFormat="false" ht="15.75" hidden="false" customHeight="false" outlineLevel="0" collapsed="false">
      <c r="F172" s="50"/>
      <c r="G172" s="50"/>
      <c r="H172" s="50"/>
      <c r="I172" s="50"/>
    </row>
    <row r="173" customFormat="false" ht="15.75" hidden="false" customHeight="false" outlineLevel="0" collapsed="false">
      <c r="F173" s="50"/>
      <c r="G173" s="50"/>
      <c r="H173" s="50"/>
      <c r="I173" s="50"/>
    </row>
    <row r="174" customFormat="false" ht="15.75" hidden="false" customHeight="false" outlineLevel="0" collapsed="false">
      <c r="F174" s="50"/>
      <c r="G174" s="50"/>
      <c r="H174" s="50"/>
      <c r="I174" s="50"/>
    </row>
    <row r="175" customFormat="false" ht="15.75" hidden="false" customHeight="false" outlineLevel="0" collapsed="false">
      <c r="F175" s="50"/>
      <c r="G175" s="50"/>
      <c r="H175" s="50"/>
      <c r="I175" s="50"/>
    </row>
    <row r="176" customFormat="false" ht="15.75" hidden="false" customHeight="false" outlineLevel="0" collapsed="false">
      <c r="F176" s="50"/>
      <c r="G176" s="50"/>
      <c r="H176" s="50"/>
      <c r="I176" s="50"/>
    </row>
    <row r="177" customFormat="false" ht="15.75" hidden="false" customHeight="false" outlineLevel="0" collapsed="false">
      <c r="F177" s="50"/>
      <c r="G177" s="50"/>
      <c r="H177" s="50"/>
      <c r="I177" s="50"/>
    </row>
    <row r="178" customFormat="false" ht="15.75" hidden="false" customHeight="false" outlineLevel="0" collapsed="false">
      <c r="F178" s="50"/>
      <c r="G178" s="50"/>
      <c r="H178" s="50"/>
      <c r="I178" s="50"/>
    </row>
    <row r="179" customFormat="false" ht="15.75" hidden="false" customHeight="false" outlineLevel="0" collapsed="false">
      <c r="F179" s="50"/>
      <c r="G179" s="50"/>
      <c r="H179" s="50"/>
      <c r="I179" s="50"/>
    </row>
    <row r="180" customFormat="false" ht="15.75" hidden="false" customHeight="false" outlineLevel="0" collapsed="false">
      <c r="F180" s="50"/>
      <c r="G180" s="50"/>
      <c r="H180" s="50"/>
      <c r="I180" s="50"/>
    </row>
    <row r="181" customFormat="false" ht="15.75" hidden="false" customHeight="false" outlineLevel="0" collapsed="false">
      <c r="F181" s="50"/>
      <c r="G181" s="50"/>
      <c r="H181" s="50"/>
      <c r="I181" s="50"/>
    </row>
    <row r="182" customFormat="false" ht="15.75" hidden="false" customHeight="false" outlineLevel="0" collapsed="false">
      <c r="F182" s="50"/>
      <c r="G182" s="50"/>
      <c r="H182" s="50"/>
      <c r="I182" s="50"/>
    </row>
    <row r="183" customFormat="false" ht="15.75" hidden="false" customHeight="false" outlineLevel="0" collapsed="false">
      <c r="F183" s="50"/>
      <c r="G183" s="50"/>
      <c r="H183" s="50"/>
      <c r="I183" s="50"/>
    </row>
    <row r="184" customFormat="false" ht="15.75" hidden="false" customHeight="false" outlineLevel="0" collapsed="false">
      <c r="F184" s="50"/>
      <c r="G184" s="50"/>
      <c r="H184" s="50"/>
      <c r="I184" s="50"/>
    </row>
    <row r="185" customFormat="false" ht="15.75" hidden="false" customHeight="false" outlineLevel="0" collapsed="false">
      <c r="F185" s="50"/>
      <c r="G185" s="50"/>
      <c r="H185" s="50"/>
      <c r="I185" s="50"/>
    </row>
    <row r="186" customFormat="false" ht="15.75" hidden="false" customHeight="false" outlineLevel="0" collapsed="false">
      <c r="F186" s="50"/>
      <c r="G186" s="50"/>
      <c r="H186" s="50"/>
      <c r="I186" s="50"/>
    </row>
    <row r="187" customFormat="false" ht="15.75" hidden="false" customHeight="false" outlineLevel="0" collapsed="false">
      <c r="F187" s="50"/>
      <c r="G187" s="50"/>
      <c r="H187" s="50"/>
      <c r="I187" s="50"/>
    </row>
    <row r="188" customFormat="false" ht="15.75" hidden="false" customHeight="false" outlineLevel="0" collapsed="false">
      <c r="F188" s="50"/>
      <c r="G188" s="50"/>
      <c r="H188" s="50"/>
      <c r="I188" s="50"/>
    </row>
    <row r="189" customFormat="false" ht="15.75" hidden="false" customHeight="false" outlineLevel="0" collapsed="false">
      <c r="F189" s="50"/>
      <c r="G189" s="50"/>
      <c r="H189" s="50"/>
      <c r="I189" s="50"/>
    </row>
    <row r="190" customFormat="false" ht="15.75" hidden="false" customHeight="false" outlineLevel="0" collapsed="false">
      <c r="F190" s="50"/>
      <c r="G190" s="50"/>
      <c r="H190" s="50"/>
      <c r="I190" s="50"/>
    </row>
    <row r="191" customFormat="false" ht="15.75" hidden="false" customHeight="false" outlineLevel="0" collapsed="false">
      <c r="F191" s="50"/>
      <c r="G191" s="50"/>
      <c r="H191" s="50"/>
      <c r="I191" s="50"/>
    </row>
    <row r="192" customFormat="false" ht="15.75" hidden="false" customHeight="false" outlineLevel="0" collapsed="false">
      <c r="F192" s="50"/>
      <c r="G192" s="50"/>
      <c r="H192" s="50"/>
      <c r="I192" s="50"/>
    </row>
    <row r="193" customFormat="false" ht="15.75" hidden="false" customHeight="false" outlineLevel="0" collapsed="false">
      <c r="F193" s="50"/>
      <c r="G193" s="50"/>
      <c r="H193" s="50"/>
      <c r="I193" s="50"/>
    </row>
    <row r="194" customFormat="false" ht="15.75" hidden="false" customHeight="false" outlineLevel="0" collapsed="false">
      <c r="F194" s="50"/>
      <c r="G194" s="50"/>
      <c r="H194" s="50"/>
      <c r="I194" s="50"/>
    </row>
    <row r="195" customFormat="false" ht="15.75" hidden="false" customHeight="false" outlineLevel="0" collapsed="false">
      <c r="F195" s="50"/>
      <c r="G195" s="50"/>
      <c r="H195" s="50"/>
      <c r="I195" s="50"/>
    </row>
    <row r="196" customFormat="false" ht="15.75" hidden="false" customHeight="false" outlineLevel="0" collapsed="false">
      <c r="F196" s="50"/>
      <c r="G196" s="50"/>
      <c r="H196" s="50"/>
      <c r="I196" s="50"/>
    </row>
    <row r="197" customFormat="false" ht="15.75" hidden="false" customHeight="false" outlineLevel="0" collapsed="false">
      <c r="F197" s="50"/>
      <c r="G197" s="50"/>
      <c r="H197" s="50"/>
      <c r="I197" s="50"/>
    </row>
    <row r="198" customFormat="false" ht="15.75" hidden="false" customHeight="false" outlineLevel="0" collapsed="false">
      <c r="F198" s="50"/>
      <c r="G198" s="50"/>
      <c r="H198" s="50"/>
      <c r="I198" s="50"/>
    </row>
    <row r="199" customFormat="false" ht="15.75" hidden="false" customHeight="false" outlineLevel="0" collapsed="false">
      <c r="F199" s="50"/>
      <c r="G199" s="50"/>
      <c r="H199" s="50"/>
      <c r="I199" s="50"/>
    </row>
    <row r="200" customFormat="false" ht="15.75" hidden="false" customHeight="false" outlineLevel="0" collapsed="false">
      <c r="F200" s="50"/>
      <c r="G200" s="50"/>
      <c r="H200" s="50"/>
      <c r="I200" s="50"/>
    </row>
    <row r="201" customFormat="false" ht="15.75" hidden="false" customHeight="false" outlineLevel="0" collapsed="false">
      <c r="F201" s="50"/>
      <c r="G201" s="50"/>
      <c r="H201" s="50"/>
      <c r="I201" s="50"/>
    </row>
    <row r="202" customFormat="false" ht="15.75" hidden="false" customHeight="false" outlineLevel="0" collapsed="false">
      <c r="F202" s="50"/>
      <c r="G202" s="50"/>
      <c r="H202" s="50"/>
      <c r="I202" s="50"/>
    </row>
    <row r="203" customFormat="false" ht="15.75" hidden="false" customHeight="false" outlineLevel="0" collapsed="false">
      <c r="F203" s="50"/>
      <c r="G203" s="50"/>
      <c r="H203" s="50"/>
      <c r="I203" s="50"/>
    </row>
    <row r="204" customFormat="false" ht="15.75" hidden="false" customHeight="false" outlineLevel="0" collapsed="false">
      <c r="F204" s="50"/>
      <c r="G204" s="50"/>
      <c r="H204" s="50"/>
      <c r="I204" s="50"/>
    </row>
    <row r="205" customFormat="false" ht="15.75" hidden="false" customHeight="false" outlineLevel="0" collapsed="false">
      <c r="F205" s="50"/>
      <c r="G205" s="50"/>
      <c r="H205" s="50"/>
      <c r="I205" s="50"/>
    </row>
    <row r="206" customFormat="false" ht="15.75" hidden="false" customHeight="false" outlineLevel="0" collapsed="false">
      <c r="F206" s="50"/>
      <c r="G206" s="50"/>
      <c r="H206" s="50"/>
      <c r="I206" s="50"/>
    </row>
    <row r="207" customFormat="false" ht="15.75" hidden="false" customHeight="false" outlineLevel="0" collapsed="false">
      <c r="F207" s="50"/>
      <c r="G207" s="50"/>
      <c r="H207" s="50"/>
      <c r="I207" s="50"/>
    </row>
    <row r="208" customFormat="false" ht="15.75" hidden="false" customHeight="false" outlineLevel="0" collapsed="false">
      <c r="F208" s="50"/>
      <c r="G208" s="50"/>
      <c r="H208" s="50"/>
      <c r="I208" s="50"/>
    </row>
    <row r="209" customFormat="false" ht="15.75" hidden="false" customHeight="false" outlineLevel="0" collapsed="false">
      <c r="F209" s="50"/>
      <c r="G209" s="50"/>
      <c r="H209" s="50"/>
      <c r="I209" s="50"/>
    </row>
    <row r="210" customFormat="false" ht="15.75" hidden="false" customHeight="false" outlineLevel="0" collapsed="false">
      <c r="F210" s="50"/>
      <c r="G210" s="50"/>
      <c r="H210" s="50"/>
      <c r="I210" s="50"/>
    </row>
    <row r="211" customFormat="false" ht="15.75" hidden="false" customHeight="false" outlineLevel="0" collapsed="false">
      <c r="F211" s="50"/>
      <c r="G211" s="50"/>
      <c r="H211" s="50"/>
      <c r="I211" s="50"/>
    </row>
    <row r="212" customFormat="false" ht="15.75" hidden="false" customHeight="false" outlineLevel="0" collapsed="false">
      <c r="F212" s="50"/>
      <c r="G212" s="50"/>
      <c r="H212" s="50"/>
      <c r="I212" s="50"/>
    </row>
    <row r="213" customFormat="false" ht="15.75" hidden="false" customHeight="false" outlineLevel="0" collapsed="false">
      <c r="F213" s="50"/>
      <c r="G213" s="50"/>
      <c r="H213" s="50"/>
      <c r="I213" s="50"/>
    </row>
    <row r="214" customFormat="false" ht="15.75" hidden="false" customHeight="false" outlineLevel="0" collapsed="false">
      <c r="F214" s="50"/>
      <c r="G214" s="50"/>
      <c r="H214" s="50"/>
      <c r="I214" s="50"/>
    </row>
    <row r="215" customFormat="false" ht="15.75" hidden="false" customHeight="false" outlineLevel="0" collapsed="false">
      <c r="F215" s="50"/>
      <c r="G215" s="50"/>
      <c r="H215" s="50"/>
      <c r="I215" s="50"/>
    </row>
    <row r="216" customFormat="false" ht="15.75" hidden="false" customHeight="false" outlineLevel="0" collapsed="false">
      <c r="F216" s="50"/>
      <c r="G216" s="50"/>
      <c r="H216" s="50"/>
      <c r="I216" s="50"/>
    </row>
    <row r="217" customFormat="false" ht="15.75" hidden="false" customHeight="false" outlineLevel="0" collapsed="false">
      <c r="F217" s="50"/>
      <c r="G217" s="50"/>
      <c r="H217" s="50"/>
      <c r="I217" s="50"/>
    </row>
    <row r="218" customFormat="false" ht="15.75" hidden="false" customHeight="false" outlineLevel="0" collapsed="false">
      <c r="F218" s="50"/>
      <c r="G218" s="50"/>
      <c r="H218" s="50"/>
      <c r="I218" s="50"/>
    </row>
    <row r="219" customFormat="false" ht="15.75" hidden="false" customHeight="false" outlineLevel="0" collapsed="false">
      <c r="F219" s="50"/>
      <c r="G219" s="50"/>
      <c r="H219" s="50"/>
      <c r="I219" s="50"/>
    </row>
    <row r="220" customFormat="false" ht="15.75" hidden="false" customHeight="false" outlineLevel="0" collapsed="false">
      <c r="F220" s="50"/>
      <c r="G220" s="50"/>
      <c r="H220" s="50"/>
      <c r="I220" s="50"/>
    </row>
    <row r="221" customFormat="false" ht="15.75" hidden="false" customHeight="false" outlineLevel="0" collapsed="false">
      <c r="F221" s="50"/>
      <c r="G221" s="50"/>
      <c r="H221" s="50"/>
      <c r="I221" s="50"/>
    </row>
    <row r="222" customFormat="false" ht="15.75" hidden="false" customHeight="false" outlineLevel="0" collapsed="false">
      <c r="F222" s="50"/>
      <c r="G222" s="50"/>
      <c r="H222" s="50"/>
      <c r="I222" s="50"/>
    </row>
    <row r="223" customFormat="false" ht="15.75" hidden="false" customHeight="false" outlineLevel="0" collapsed="false">
      <c r="F223" s="50"/>
      <c r="G223" s="50"/>
      <c r="H223" s="50"/>
      <c r="I223" s="50"/>
    </row>
    <row r="224" customFormat="false" ht="15.75" hidden="false" customHeight="false" outlineLevel="0" collapsed="false">
      <c r="F224" s="50"/>
      <c r="G224" s="50"/>
      <c r="H224" s="50"/>
      <c r="I224" s="50"/>
    </row>
    <row r="225" customFormat="false" ht="15.75" hidden="false" customHeight="false" outlineLevel="0" collapsed="false">
      <c r="F225" s="50"/>
      <c r="G225" s="50"/>
      <c r="H225" s="50"/>
      <c r="I225" s="50"/>
    </row>
    <row r="226" customFormat="false" ht="15.75" hidden="false" customHeight="false" outlineLevel="0" collapsed="false">
      <c r="F226" s="50"/>
      <c r="G226" s="50"/>
      <c r="H226" s="50"/>
      <c r="I226" s="50"/>
    </row>
    <row r="227" customFormat="false" ht="15.75" hidden="false" customHeight="false" outlineLevel="0" collapsed="false">
      <c r="F227" s="50"/>
      <c r="G227" s="50"/>
      <c r="H227" s="50"/>
      <c r="I227" s="50"/>
    </row>
    <row r="228" customFormat="false" ht="15.75" hidden="false" customHeight="false" outlineLevel="0" collapsed="false">
      <c r="F228" s="50"/>
      <c r="G228" s="50"/>
      <c r="H228" s="50"/>
      <c r="I228" s="50"/>
    </row>
    <row r="229" customFormat="false" ht="15.75" hidden="false" customHeight="false" outlineLevel="0" collapsed="false">
      <c r="F229" s="50"/>
      <c r="G229" s="50"/>
      <c r="H229" s="50"/>
      <c r="I229" s="50"/>
    </row>
    <row r="230" customFormat="false" ht="15.75" hidden="false" customHeight="false" outlineLevel="0" collapsed="false">
      <c r="F230" s="50"/>
      <c r="G230" s="50"/>
      <c r="H230" s="50"/>
      <c r="I230" s="50"/>
    </row>
    <row r="231" customFormat="false" ht="15.75" hidden="false" customHeight="false" outlineLevel="0" collapsed="false">
      <c r="F231" s="50"/>
      <c r="G231" s="50"/>
      <c r="H231" s="50"/>
      <c r="I231" s="50"/>
    </row>
    <row r="232" customFormat="false" ht="15.75" hidden="false" customHeight="false" outlineLevel="0" collapsed="false">
      <c r="F232" s="50"/>
      <c r="G232" s="50"/>
      <c r="H232" s="50"/>
      <c r="I232" s="50"/>
    </row>
    <row r="233" customFormat="false" ht="15.75" hidden="false" customHeight="false" outlineLevel="0" collapsed="false">
      <c r="F233" s="50"/>
      <c r="G233" s="50"/>
      <c r="H233" s="50"/>
      <c r="I233" s="50"/>
    </row>
    <row r="234" customFormat="false" ht="15.75" hidden="false" customHeight="false" outlineLevel="0" collapsed="false">
      <c r="F234" s="50"/>
      <c r="G234" s="50"/>
      <c r="H234" s="50"/>
      <c r="I234" s="50"/>
    </row>
    <row r="235" customFormat="false" ht="15.75" hidden="false" customHeight="false" outlineLevel="0" collapsed="false">
      <c r="F235" s="50"/>
      <c r="G235" s="50"/>
      <c r="H235" s="50"/>
      <c r="I235" s="50"/>
    </row>
    <row r="236" customFormat="false" ht="15.75" hidden="false" customHeight="false" outlineLevel="0" collapsed="false">
      <c r="F236" s="50"/>
      <c r="G236" s="50"/>
      <c r="H236" s="50"/>
      <c r="I236" s="50"/>
    </row>
    <row r="237" customFormat="false" ht="15.75" hidden="false" customHeight="false" outlineLevel="0" collapsed="false">
      <c r="F237" s="50"/>
      <c r="G237" s="50"/>
      <c r="H237" s="50"/>
      <c r="I237" s="50"/>
    </row>
    <row r="238" customFormat="false" ht="15.75" hidden="false" customHeight="false" outlineLevel="0" collapsed="false">
      <c r="F238" s="50"/>
      <c r="G238" s="50"/>
      <c r="H238" s="50"/>
      <c r="I238" s="50"/>
    </row>
    <row r="239" customFormat="false" ht="15.75" hidden="false" customHeight="false" outlineLevel="0" collapsed="false">
      <c r="F239" s="50"/>
      <c r="G239" s="50"/>
      <c r="H239" s="50"/>
      <c r="I239" s="50"/>
    </row>
    <row r="240" customFormat="false" ht="15.75" hidden="false" customHeight="false" outlineLevel="0" collapsed="false">
      <c r="F240" s="50"/>
      <c r="G240" s="50"/>
      <c r="H240" s="50"/>
      <c r="I240" s="50"/>
    </row>
    <row r="241" customFormat="false" ht="15.75" hidden="false" customHeight="false" outlineLevel="0" collapsed="false">
      <c r="F241" s="50"/>
      <c r="G241" s="50"/>
      <c r="H241" s="50"/>
      <c r="I241" s="50"/>
    </row>
    <row r="242" customFormat="false" ht="15.75" hidden="false" customHeight="false" outlineLevel="0" collapsed="false">
      <c r="F242" s="50"/>
      <c r="G242" s="50"/>
      <c r="H242" s="50"/>
      <c r="I242" s="50"/>
    </row>
    <row r="243" customFormat="false" ht="15.75" hidden="false" customHeight="false" outlineLevel="0" collapsed="false">
      <c r="F243" s="50"/>
      <c r="G243" s="50"/>
      <c r="H243" s="50"/>
      <c r="I243" s="50"/>
    </row>
    <row r="244" customFormat="false" ht="15.75" hidden="false" customHeight="false" outlineLevel="0" collapsed="false">
      <c r="F244" s="50"/>
      <c r="G244" s="50"/>
      <c r="H244" s="50"/>
      <c r="I244" s="50"/>
    </row>
    <row r="245" customFormat="false" ht="15.75" hidden="false" customHeight="false" outlineLevel="0" collapsed="false">
      <c r="F245" s="50"/>
      <c r="G245" s="50"/>
      <c r="H245" s="50"/>
      <c r="I245" s="50"/>
    </row>
    <row r="246" customFormat="false" ht="15.75" hidden="false" customHeight="false" outlineLevel="0" collapsed="false">
      <c r="F246" s="50"/>
      <c r="G246" s="50"/>
      <c r="H246" s="50"/>
      <c r="I246" s="50"/>
    </row>
    <row r="247" customFormat="false" ht="15.75" hidden="false" customHeight="false" outlineLevel="0" collapsed="false">
      <c r="F247" s="50"/>
      <c r="G247" s="50"/>
      <c r="H247" s="50"/>
      <c r="I247" s="50"/>
    </row>
    <row r="248" customFormat="false" ht="15.75" hidden="false" customHeight="false" outlineLevel="0" collapsed="false">
      <c r="F248" s="50"/>
      <c r="G248" s="50"/>
      <c r="H248" s="50"/>
      <c r="I248" s="50"/>
    </row>
    <row r="249" customFormat="false" ht="15.75" hidden="false" customHeight="false" outlineLevel="0" collapsed="false">
      <c r="F249" s="50"/>
      <c r="G249" s="50"/>
      <c r="H249" s="50"/>
      <c r="I249" s="50"/>
    </row>
    <row r="250" customFormat="false" ht="15.75" hidden="false" customHeight="false" outlineLevel="0" collapsed="false">
      <c r="F250" s="50"/>
      <c r="G250" s="50"/>
      <c r="H250" s="50"/>
      <c r="I250" s="50"/>
    </row>
    <row r="251" customFormat="false" ht="15.75" hidden="false" customHeight="false" outlineLevel="0" collapsed="false">
      <c r="F251" s="50"/>
      <c r="G251" s="50"/>
      <c r="H251" s="50"/>
      <c r="I251" s="50"/>
    </row>
    <row r="252" customFormat="false" ht="15.75" hidden="false" customHeight="false" outlineLevel="0" collapsed="false">
      <c r="F252" s="50"/>
      <c r="G252" s="50"/>
      <c r="H252" s="50"/>
      <c r="I252" s="50"/>
    </row>
    <row r="253" customFormat="false" ht="15.75" hidden="false" customHeight="false" outlineLevel="0" collapsed="false">
      <c r="F253" s="50"/>
      <c r="G253" s="50"/>
      <c r="H253" s="50"/>
      <c r="I253" s="50"/>
    </row>
    <row r="254" customFormat="false" ht="15.75" hidden="false" customHeight="false" outlineLevel="0" collapsed="false">
      <c r="F254" s="50"/>
      <c r="G254" s="50"/>
      <c r="H254" s="50"/>
      <c r="I254" s="50"/>
    </row>
    <row r="255" customFormat="false" ht="15.75" hidden="false" customHeight="false" outlineLevel="0" collapsed="false">
      <c r="F255" s="50"/>
      <c r="G255" s="50"/>
      <c r="H255" s="50"/>
      <c r="I255" s="50"/>
    </row>
    <row r="256" customFormat="false" ht="15.75" hidden="false" customHeight="false" outlineLevel="0" collapsed="false">
      <c r="F256" s="50"/>
      <c r="G256" s="50"/>
      <c r="H256" s="50"/>
      <c r="I256" s="50"/>
    </row>
    <row r="257" customFormat="false" ht="15.75" hidden="false" customHeight="false" outlineLevel="0" collapsed="false">
      <c r="F257" s="50"/>
      <c r="G257" s="50"/>
      <c r="H257" s="50"/>
      <c r="I257" s="50"/>
    </row>
    <row r="258" customFormat="false" ht="15.75" hidden="false" customHeight="false" outlineLevel="0" collapsed="false">
      <c r="F258" s="50"/>
      <c r="G258" s="50"/>
      <c r="H258" s="50"/>
      <c r="I258" s="50"/>
    </row>
    <row r="259" customFormat="false" ht="15.75" hidden="false" customHeight="false" outlineLevel="0" collapsed="false">
      <c r="F259" s="50"/>
      <c r="G259" s="50"/>
      <c r="H259" s="50"/>
      <c r="I259" s="50"/>
    </row>
    <row r="260" customFormat="false" ht="15.75" hidden="false" customHeight="false" outlineLevel="0" collapsed="false">
      <c r="F260" s="50"/>
      <c r="G260" s="50"/>
      <c r="H260" s="50"/>
      <c r="I260" s="50"/>
    </row>
    <row r="261" customFormat="false" ht="15.75" hidden="false" customHeight="false" outlineLevel="0" collapsed="false">
      <c r="F261" s="50"/>
      <c r="G261" s="50"/>
      <c r="H261" s="50"/>
      <c r="I261" s="50"/>
    </row>
    <row r="262" customFormat="false" ht="15.75" hidden="false" customHeight="false" outlineLevel="0" collapsed="false">
      <c r="F262" s="50"/>
      <c r="G262" s="50"/>
      <c r="H262" s="50"/>
      <c r="I262" s="50"/>
    </row>
    <row r="263" customFormat="false" ht="15.75" hidden="false" customHeight="false" outlineLevel="0" collapsed="false">
      <c r="F263" s="50"/>
      <c r="G263" s="50"/>
      <c r="H263" s="50"/>
      <c r="I263" s="50"/>
    </row>
    <row r="264" customFormat="false" ht="15.75" hidden="false" customHeight="false" outlineLevel="0" collapsed="false">
      <c r="F264" s="50"/>
      <c r="G264" s="50"/>
      <c r="H264" s="50"/>
      <c r="I264" s="50"/>
    </row>
    <row r="265" customFormat="false" ht="15.75" hidden="false" customHeight="false" outlineLevel="0" collapsed="false">
      <c r="F265" s="50"/>
      <c r="G265" s="50"/>
      <c r="H265" s="50"/>
      <c r="I265" s="50"/>
    </row>
    <row r="266" customFormat="false" ht="15.75" hidden="false" customHeight="false" outlineLevel="0" collapsed="false">
      <c r="F266" s="50"/>
      <c r="G266" s="50"/>
      <c r="H266" s="50"/>
      <c r="I266" s="50"/>
    </row>
    <row r="267" customFormat="false" ht="15.75" hidden="false" customHeight="false" outlineLevel="0" collapsed="false">
      <c r="F267" s="50"/>
      <c r="G267" s="50"/>
      <c r="H267" s="50"/>
      <c r="I267" s="50"/>
    </row>
    <row r="268" customFormat="false" ht="15.75" hidden="false" customHeight="false" outlineLevel="0" collapsed="false">
      <c r="F268" s="50"/>
      <c r="G268" s="50"/>
      <c r="H268" s="50"/>
      <c r="I268" s="50"/>
    </row>
    <row r="269" customFormat="false" ht="15.75" hidden="false" customHeight="false" outlineLevel="0" collapsed="false">
      <c r="F269" s="50"/>
      <c r="G269" s="50"/>
      <c r="H269" s="50"/>
      <c r="I269" s="50"/>
    </row>
    <row r="270" customFormat="false" ht="15.75" hidden="false" customHeight="false" outlineLevel="0" collapsed="false">
      <c r="F270" s="50"/>
      <c r="G270" s="50"/>
      <c r="H270" s="50"/>
      <c r="I270" s="50"/>
    </row>
    <row r="271" customFormat="false" ht="15.75" hidden="false" customHeight="false" outlineLevel="0" collapsed="false">
      <c r="F271" s="50"/>
      <c r="G271" s="50"/>
      <c r="H271" s="50"/>
      <c r="I271" s="50"/>
    </row>
    <row r="272" customFormat="false" ht="15.75" hidden="false" customHeight="false" outlineLevel="0" collapsed="false">
      <c r="F272" s="50"/>
      <c r="G272" s="50"/>
      <c r="H272" s="50"/>
      <c r="I272" s="50"/>
    </row>
    <row r="273" customFormat="false" ht="15.75" hidden="false" customHeight="false" outlineLevel="0" collapsed="false">
      <c r="F273" s="50"/>
      <c r="G273" s="50"/>
      <c r="H273" s="50"/>
      <c r="I273" s="50"/>
    </row>
    <row r="274" customFormat="false" ht="15.75" hidden="false" customHeight="false" outlineLevel="0" collapsed="false">
      <c r="F274" s="50"/>
      <c r="G274" s="50"/>
      <c r="H274" s="50"/>
      <c r="I274" s="50"/>
    </row>
    <row r="275" customFormat="false" ht="15.75" hidden="false" customHeight="false" outlineLevel="0" collapsed="false">
      <c r="F275" s="50"/>
      <c r="G275" s="50"/>
      <c r="H275" s="50"/>
      <c r="I275" s="50"/>
    </row>
    <row r="276" customFormat="false" ht="15.75" hidden="false" customHeight="false" outlineLevel="0" collapsed="false">
      <c r="F276" s="50"/>
      <c r="G276" s="50"/>
      <c r="H276" s="50"/>
      <c r="I276" s="50"/>
    </row>
    <row r="277" customFormat="false" ht="15.75" hidden="false" customHeight="false" outlineLevel="0" collapsed="false">
      <c r="F277" s="50"/>
      <c r="G277" s="50"/>
      <c r="H277" s="50"/>
      <c r="I277" s="50"/>
    </row>
    <row r="278" customFormat="false" ht="15.75" hidden="false" customHeight="false" outlineLevel="0" collapsed="false">
      <c r="F278" s="50"/>
      <c r="G278" s="50"/>
      <c r="H278" s="50"/>
      <c r="I278" s="50"/>
    </row>
    <row r="279" customFormat="false" ht="15.75" hidden="false" customHeight="false" outlineLevel="0" collapsed="false">
      <c r="F279" s="50"/>
      <c r="G279" s="50"/>
      <c r="H279" s="50"/>
      <c r="I279" s="50"/>
    </row>
    <row r="280" customFormat="false" ht="15.75" hidden="false" customHeight="false" outlineLevel="0" collapsed="false">
      <c r="F280" s="50"/>
      <c r="G280" s="50"/>
      <c r="H280" s="50"/>
      <c r="I280" s="50"/>
    </row>
    <row r="281" customFormat="false" ht="15.75" hidden="false" customHeight="false" outlineLevel="0" collapsed="false">
      <c r="F281" s="50"/>
      <c r="G281" s="50"/>
      <c r="H281" s="50"/>
      <c r="I281" s="50"/>
    </row>
    <row r="282" customFormat="false" ht="15.75" hidden="false" customHeight="false" outlineLevel="0" collapsed="false">
      <c r="F282" s="50"/>
      <c r="G282" s="50"/>
      <c r="H282" s="50"/>
      <c r="I282" s="50"/>
    </row>
    <row r="283" customFormat="false" ht="15.75" hidden="false" customHeight="false" outlineLevel="0" collapsed="false">
      <c r="F283" s="50"/>
      <c r="G283" s="50"/>
      <c r="H283" s="50"/>
      <c r="I283" s="50"/>
    </row>
    <row r="284" customFormat="false" ht="15.75" hidden="false" customHeight="false" outlineLevel="0" collapsed="false">
      <c r="F284" s="50"/>
      <c r="G284" s="50"/>
      <c r="H284" s="50"/>
      <c r="I284" s="50"/>
    </row>
    <row r="285" customFormat="false" ht="15.75" hidden="false" customHeight="false" outlineLevel="0" collapsed="false">
      <c r="F285" s="50"/>
      <c r="G285" s="50"/>
      <c r="H285" s="50"/>
      <c r="I285" s="50"/>
    </row>
    <row r="286" customFormat="false" ht="15.75" hidden="false" customHeight="false" outlineLevel="0" collapsed="false">
      <c r="F286" s="50"/>
      <c r="G286" s="50"/>
      <c r="H286" s="50"/>
      <c r="I286" s="50"/>
    </row>
    <row r="287" customFormat="false" ht="15.75" hidden="false" customHeight="false" outlineLevel="0" collapsed="false">
      <c r="F287" s="50"/>
      <c r="G287" s="50"/>
      <c r="H287" s="50"/>
      <c r="I287" s="50"/>
    </row>
    <row r="288" customFormat="false" ht="15.75" hidden="false" customHeight="false" outlineLevel="0" collapsed="false">
      <c r="F288" s="50"/>
      <c r="G288" s="50"/>
      <c r="H288" s="50"/>
      <c r="I288" s="50"/>
    </row>
    <row r="289" customFormat="false" ht="15.75" hidden="false" customHeight="false" outlineLevel="0" collapsed="false">
      <c r="F289" s="50"/>
      <c r="G289" s="50"/>
      <c r="H289" s="50"/>
      <c r="I289" s="50"/>
    </row>
    <row r="290" customFormat="false" ht="15.75" hidden="false" customHeight="false" outlineLevel="0" collapsed="false">
      <c r="F290" s="50"/>
      <c r="G290" s="50"/>
      <c r="H290" s="50"/>
      <c r="I290" s="50"/>
    </row>
    <row r="291" customFormat="false" ht="15.75" hidden="false" customHeight="false" outlineLevel="0" collapsed="false">
      <c r="F291" s="50"/>
      <c r="G291" s="50"/>
      <c r="H291" s="50"/>
      <c r="I291" s="50"/>
    </row>
    <row r="292" customFormat="false" ht="15.75" hidden="false" customHeight="false" outlineLevel="0" collapsed="false">
      <c r="F292" s="50"/>
      <c r="G292" s="50"/>
      <c r="H292" s="50"/>
      <c r="I292" s="50"/>
    </row>
    <row r="293" customFormat="false" ht="15.75" hidden="false" customHeight="false" outlineLevel="0" collapsed="false">
      <c r="F293" s="50"/>
      <c r="G293" s="50"/>
      <c r="H293" s="50"/>
      <c r="I293" s="50"/>
    </row>
    <row r="294" customFormat="false" ht="15.75" hidden="false" customHeight="false" outlineLevel="0" collapsed="false">
      <c r="F294" s="50"/>
      <c r="G294" s="50"/>
      <c r="H294" s="50"/>
      <c r="I294" s="50"/>
    </row>
    <row r="295" customFormat="false" ht="15.75" hidden="false" customHeight="false" outlineLevel="0" collapsed="false">
      <c r="F295" s="50"/>
      <c r="G295" s="50"/>
      <c r="H295" s="50"/>
      <c r="I295" s="50"/>
    </row>
    <row r="296" customFormat="false" ht="15.75" hidden="false" customHeight="false" outlineLevel="0" collapsed="false">
      <c r="F296" s="50"/>
      <c r="G296" s="50"/>
      <c r="H296" s="50"/>
      <c r="I296" s="50"/>
    </row>
    <row r="297" customFormat="false" ht="15.75" hidden="false" customHeight="false" outlineLevel="0" collapsed="false">
      <c r="F297" s="50"/>
      <c r="G297" s="50"/>
      <c r="H297" s="50"/>
      <c r="I297" s="50"/>
    </row>
    <row r="298" customFormat="false" ht="15.75" hidden="false" customHeight="false" outlineLevel="0" collapsed="false">
      <c r="F298" s="50"/>
      <c r="G298" s="50"/>
      <c r="H298" s="50"/>
      <c r="I298" s="50"/>
    </row>
    <row r="299" customFormat="false" ht="15.75" hidden="false" customHeight="false" outlineLevel="0" collapsed="false">
      <c r="F299" s="50"/>
      <c r="G299" s="50"/>
      <c r="H299" s="50"/>
      <c r="I299" s="50"/>
    </row>
    <row r="300" customFormat="false" ht="15.75" hidden="false" customHeight="false" outlineLevel="0" collapsed="false">
      <c r="F300" s="50"/>
      <c r="G300" s="50"/>
      <c r="H300" s="50"/>
      <c r="I300" s="50"/>
    </row>
    <row r="301" customFormat="false" ht="15.75" hidden="false" customHeight="false" outlineLevel="0" collapsed="false">
      <c r="F301" s="50"/>
      <c r="G301" s="50"/>
      <c r="H301" s="50"/>
      <c r="I301" s="50"/>
    </row>
    <row r="302" customFormat="false" ht="15.75" hidden="false" customHeight="false" outlineLevel="0" collapsed="false">
      <c r="F302" s="50"/>
      <c r="G302" s="50"/>
      <c r="H302" s="50"/>
      <c r="I302" s="50"/>
    </row>
    <row r="303" customFormat="false" ht="15.75" hidden="false" customHeight="false" outlineLevel="0" collapsed="false">
      <c r="F303" s="50"/>
      <c r="G303" s="50"/>
      <c r="H303" s="50"/>
      <c r="I303" s="50"/>
    </row>
    <row r="304" customFormat="false" ht="15.75" hidden="false" customHeight="false" outlineLevel="0" collapsed="false">
      <c r="F304" s="50"/>
      <c r="G304" s="50"/>
      <c r="H304" s="50"/>
      <c r="I304" s="50"/>
    </row>
    <row r="305" customFormat="false" ht="15.75" hidden="false" customHeight="false" outlineLevel="0" collapsed="false">
      <c r="F305" s="50"/>
      <c r="G305" s="50"/>
      <c r="H305" s="50"/>
      <c r="I305" s="50"/>
    </row>
    <row r="306" customFormat="false" ht="15.75" hidden="false" customHeight="false" outlineLevel="0" collapsed="false">
      <c r="F306" s="50"/>
      <c r="G306" s="50"/>
      <c r="H306" s="50"/>
      <c r="I306" s="50"/>
    </row>
    <row r="307" customFormat="false" ht="15.75" hidden="false" customHeight="false" outlineLevel="0" collapsed="false">
      <c r="F307" s="50"/>
      <c r="G307" s="50"/>
      <c r="H307" s="50"/>
      <c r="I307" s="50"/>
    </row>
    <row r="308" customFormat="false" ht="15.75" hidden="false" customHeight="false" outlineLevel="0" collapsed="false">
      <c r="F308" s="50"/>
      <c r="G308" s="50"/>
      <c r="H308" s="50"/>
      <c r="I308" s="50"/>
    </row>
    <row r="309" customFormat="false" ht="15.75" hidden="false" customHeight="false" outlineLevel="0" collapsed="false">
      <c r="F309" s="50"/>
      <c r="G309" s="50"/>
      <c r="H309" s="50"/>
      <c r="I309" s="50"/>
    </row>
    <row r="310" customFormat="false" ht="15.75" hidden="false" customHeight="false" outlineLevel="0" collapsed="false">
      <c r="F310" s="50"/>
      <c r="G310" s="50"/>
      <c r="H310" s="50"/>
      <c r="I310" s="50"/>
    </row>
    <row r="311" customFormat="false" ht="15.75" hidden="false" customHeight="false" outlineLevel="0" collapsed="false">
      <c r="F311" s="50"/>
      <c r="G311" s="50"/>
      <c r="H311" s="50"/>
      <c r="I311" s="50"/>
    </row>
    <row r="312" customFormat="false" ht="15.75" hidden="false" customHeight="false" outlineLevel="0" collapsed="false">
      <c r="F312" s="50"/>
      <c r="G312" s="50"/>
      <c r="H312" s="50"/>
      <c r="I312" s="50"/>
    </row>
    <row r="313" customFormat="false" ht="15.75" hidden="false" customHeight="false" outlineLevel="0" collapsed="false">
      <c r="F313" s="50"/>
      <c r="G313" s="50"/>
      <c r="H313" s="50"/>
      <c r="I313" s="50"/>
    </row>
    <row r="314" customFormat="false" ht="15.75" hidden="false" customHeight="false" outlineLevel="0" collapsed="false">
      <c r="F314" s="50"/>
      <c r="G314" s="50"/>
      <c r="H314" s="50"/>
      <c r="I314" s="50"/>
    </row>
    <row r="315" customFormat="false" ht="15.75" hidden="false" customHeight="false" outlineLevel="0" collapsed="false">
      <c r="F315" s="50"/>
      <c r="G315" s="50"/>
      <c r="H315" s="50"/>
      <c r="I315" s="50"/>
    </row>
    <row r="316" customFormat="false" ht="15.75" hidden="false" customHeight="false" outlineLevel="0" collapsed="false">
      <c r="F316" s="50"/>
      <c r="G316" s="50"/>
      <c r="H316" s="50"/>
      <c r="I316" s="50"/>
    </row>
    <row r="317" customFormat="false" ht="15.75" hidden="false" customHeight="false" outlineLevel="0" collapsed="false">
      <c r="F317" s="50"/>
      <c r="G317" s="50"/>
      <c r="H317" s="50"/>
      <c r="I317" s="50"/>
    </row>
    <row r="318" customFormat="false" ht="15.75" hidden="false" customHeight="false" outlineLevel="0" collapsed="false">
      <c r="F318" s="50"/>
      <c r="G318" s="50"/>
      <c r="H318" s="50"/>
      <c r="I318" s="50"/>
    </row>
    <row r="319" customFormat="false" ht="15.75" hidden="false" customHeight="false" outlineLevel="0" collapsed="false">
      <c r="F319" s="50"/>
      <c r="G319" s="50"/>
      <c r="H319" s="50"/>
      <c r="I319" s="50"/>
    </row>
    <row r="320" customFormat="false" ht="15.75" hidden="false" customHeight="false" outlineLevel="0" collapsed="false">
      <c r="F320" s="50"/>
      <c r="G320" s="50"/>
      <c r="H320" s="50"/>
      <c r="I320" s="50"/>
    </row>
    <row r="321" customFormat="false" ht="15.75" hidden="false" customHeight="false" outlineLevel="0" collapsed="false">
      <c r="F321" s="50"/>
      <c r="G321" s="50"/>
      <c r="H321" s="50"/>
      <c r="I321" s="50"/>
    </row>
    <row r="322" customFormat="false" ht="15.75" hidden="false" customHeight="false" outlineLevel="0" collapsed="false">
      <c r="F322" s="50"/>
      <c r="G322" s="50"/>
      <c r="H322" s="50"/>
      <c r="I322" s="50"/>
    </row>
    <row r="323" customFormat="false" ht="15.75" hidden="false" customHeight="false" outlineLevel="0" collapsed="false">
      <c r="F323" s="50"/>
      <c r="G323" s="50"/>
      <c r="H323" s="50"/>
      <c r="I323" s="50"/>
    </row>
    <row r="324" customFormat="false" ht="15.75" hidden="false" customHeight="false" outlineLevel="0" collapsed="false">
      <c r="F324" s="50"/>
      <c r="G324" s="50"/>
      <c r="H324" s="50"/>
      <c r="I324" s="50"/>
    </row>
    <row r="325" customFormat="false" ht="15.75" hidden="false" customHeight="false" outlineLevel="0" collapsed="false">
      <c r="F325" s="50"/>
      <c r="G325" s="50"/>
      <c r="H325" s="50"/>
      <c r="I325" s="50"/>
    </row>
    <row r="326" customFormat="false" ht="15.75" hidden="false" customHeight="false" outlineLevel="0" collapsed="false">
      <c r="F326" s="50"/>
      <c r="G326" s="50"/>
      <c r="H326" s="50"/>
      <c r="I326" s="50"/>
    </row>
    <row r="327" customFormat="false" ht="15.75" hidden="false" customHeight="false" outlineLevel="0" collapsed="false">
      <c r="F327" s="50"/>
      <c r="G327" s="50"/>
      <c r="H327" s="50"/>
      <c r="I327" s="50"/>
    </row>
    <row r="328" customFormat="false" ht="15.75" hidden="false" customHeight="false" outlineLevel="0" collapsed="false">
      <c r="F328" s="50"/>
      <c r="G328" s="50"/>
      <c r="H328" s="50"/>
      <c r="I328" s="50"/>
    </row>
    <row r="329" customFormat="false" ht="15.75" hidden="false" customHeight="false" outlineLevel="0" collapsed="false">
      <c r="F329" s="50"/>
      <c r="G329" s="50"/>
      <c r="H329" s="50"/>
      <c r="I329" s="50"/>
    </row>
    <row r="330" customFormat="false" ht="15.75" hidden="false" customHeight="false" outlineLevel="0" collapsed="false">
      <c r="F330" s="50"/>
      <c r="G330" s="50"/>
      <c r="H330" s="50"/>
      <c r="I330" s="50"/>
    </row>
    <row r="331" customFormat="false" ht="15.75" hidden="false" customHeight="false" outlineLevel="0" collapsed="false">
      <c r="F331" s="50"/>
      <c r="G331" s="50"/>
      <c r="H331" s="50"/>
      <c r="I331" s="50"/>
    </row>
    <row r="332" customFormat="false" ht="15.75" hidden="false" customHeight="false" outlineLevel="0" collapsed="false">
      <c r="F332" s="50"/>
      <c r="G332" s="50"/>
      <c r="H332" s="50"/>
      <c r="I332" s="50"/>
    </row>
    <row r="333" customFormat="false" ht="15.75" hidden="false" customHeight="false" outlineLevel="0" collapsed="false">
      <c r="F333" s="50"/>
      <c r="G333" s="50"/>
      <c r="H333" s="50"/>
      <c r="I333" s="50"/>
    </row>
    <row r="334" customFormat="false" ht="15.75" hidden="false" customHeight="false" outlineLevel="0" collapsed="false">
      <c r="F334" s="50"/>
      <c r="G334" s="50"/>
      <c r="H334" s="50"/>
      <c r="I334" s="50"/>
    </row>
    <row r="335" customFormat="false" ht="15.75" hidden="false" customHeight="false" outlineLevel="0" collapsed="false">
      <c r="F335" s="50"/>
      <c r="G335" s="50"/>
      <c r="H335" s="50"/>
      <c r="I335" s="50"/>
    </row>
    <row r="336" customFormat="false" ht="15.75" hidden="false" customHeight="false" outlineLevel="0" collapsed="false">
      <c r="F336" s="50"/>
      <c r="G336" s="50"/>
      <c r="H336" s="50"/>
      <c r="I336" s="50"/>
    </row>
    <row r="337" customFormat="false" ht="15.75" hidden="false" customHeight="false" outlineLevel="0" collapsed="false">
      <c r="F337" s="50"/>
      <c r="G337" s="50"/>
      <c r="H337" s="50"/>
      <c r="I337" s="50"/>
    </row>
    <row r="338" customFormat="false" ht="15.75" hidden="false" customHeight="false" outlineLevel="0" collapsed="false">
      <c r="F338" s="50"/>
      <c r="G338" s="50"/>
      <c r="H338" s="50"/>
      <c r="I338" s="50"/>
    </row>
    <row r="339" customFormat="false" ht="15.75" hidden="false" customHeight="false" outlineLevel="0" collapsed="false">
      <c r="F339" s="50"/>
      <c r="G339" s="50"/>
      <c r="H339" s="50"/>
      <c r="I339" s="50"/>
    </row>
    <row r="340" customFormat="false" ht="15.75" hidden="false" customHeight="false" outlineLevel="0" collapsed="false">
      <c r="F340" s="50"/>
      <c r="G340" s="50"/>
      <c r="H340" s="50"/>
      <c r="I340" s="50"/>
    </row>
    <row r="341" customFormat="false" ht="15.75" hidden="false" customHeight="false" outlineLevel="0" collapsed="false">
      <c r="F341" s="50"/>
      <c r="G341" s="50"/>
      <c r="H341" s="50"/>
      <c r="I341" s="50"/>
    </row>
    <row r="342" customFormat="false" ht="15.75" hidden="false" customHeight="false" outlineLevel="0" collapsed="false">
      <c r="F342" s="50"/>
      <c r="G342" s="50"/>
      <c r="H342" s="50"/>
      <c r="I342" s="50"/>
    </row>
    <row r="343" customFormat="false" ht="15.75" hidden="false" customHeight="false" outlineLevel="0" collapsed="false">
      <c r="F343" s="50"/>
      <c r="G343" s="50"/>
      <c r="H343" s="50"/>
      <c r="I343" s="50"/>
    </row>
    <row r="344" customFormat="false" ht="15.75" hidden="false" customHeight="false" outlineLevel="0" collapsed="false">
      <c r="F344" s="50"/>
      <c r="G344" s="50"/>
      <c r="H344" s="50"/>
      <c r="I344" s="50"/>
    </row>
    <row r="345" customFormat="false" ht="15.75" hidden="false" customHeight="false" outlineLevel="0" collapsed="false">
      <c r="F345" s="50"/>
      <c r="G345" s="50"/>
      <c r="H345" s="50"/>
      <c r="I345" s="50"/>
    </row>
    <row r="346" customFormat="false" ht="15.75" hidden="false" customHeight="false" outlineLevel="0" collapsed="false">
      <c r="F346" s="50"/>
      <c r="G346" s="50"/>
      <c r="H346" s="50"/>
      <c r="I346" s="50"/>
    </row>
    <row r="347" customFormat="false" ht="15.75" hidden="false" customHeight="false" outlineLevel="0" collapsed="false">
      <c r="F347" s="50"/>
      <c r="G347" s="50"/>
      <c r="H347" s="50"/>
      <c r="I347" s="50"/>
    </row>
    <row r="348" customFormat="false" ht="15.75" hidden="false" customHeight="false" outlineLevel="0" collapsed="false">
      <c r="F348" s="50"/>
      <c r="G348" s="50"/>
      <c r="H348" s="50"/>
      <c r="I348" s="50"/>
    </row>
    <row r="349" customFormat="false" ht="15.75" hidden="false" customHeight="false" outlineLevel="0" collapsed="false">
      <c r="F349" s="50"/>
      <c r="G349" s="50"/>
      <c r="H349" s="50"/>
      <c r="I349" s="50"/>
    </row>
    <row r="350" customFormat="false" ht="15.75" hidden="false" customHeight="false" outlineLevel="0" collapsed="false">
      <c r="F350" s="50"/>
      <c r="G350" s="50"/>
      <c r="H350" s="50"/>
      <c r="I350" s="50"/>
    </row>
    <row r="351" customFormat="false" ht="15.75" hidden="false" customHeight="false" outlineLevel="0" collapsed="false">
      <c r="F351" s="50"/>
      <c r="G351" s="50"/>
      <c r="H351" s="50"/>
      <c r="I351" s="50"/>
    </row>
    <row r="352" customFormat="false" ht="15.75" hidden="false" customHeight="false" outlineLevel="0" collapsed="false">
      <c r="F352" s="50"/>
      <c r="G352" s="50"/>
      <c r="H352" s="50"/>
      <c r="I352" s="50"/>
    </row>
    <row r="353" customFormat="false" ht="15.75" hidden="false" customHeight="false" outlineLevel="0" collapsed="false">
      <c r="F353" s="50"/>
      <c r="G353" s="50"/>
      <c r="H353" s="50"/>
      <c r="I353" s="50"/>
    </row>
    <row r="354" customFormat="false" ht="15.75" hidden="false" customHeight="false" outlineLevel="0" collapsed="false">
      <c r="F354" s="50"/>
      <c r="G354" s="50"/>
      <c r="H354" s="50"/>
      <c r="I354" s="50"/>
    </row>
    <row r="355" customFormat="false" ht="15.75" hidden="false" customHeight="false" outlineLevel="0" collapsed="false">
      <c r="F355" s="50"/>
      <c r="G355" s="50"/>
      <c r="H355" s="50"/>
      <c r="I355" s="50"/>
    </row>
    <row r="356" customFormat="false" ht="15.75" hidden="false" customHeight="false" outlineLevel="0" collapsed="false">
      <c r="F356" s="50"/>
      <c r="G356" s="50"/>
      <c r="H356" s="50"/>
      <c r="I356" s="50"/>
    </row>
    <row r="357" customFormat="false" ht="15.75" hidden="false" customHeight="false" outlineLevel="0" collapsed="false">
      <c r="F357" s="50"/>
      <c r="G357" s="50"/>
      <c r="H357" s="50"/>
      <c r="I357" s="50"/>
    </row>
    <row r="358" customFormat="false" ht="15.75" hidden="false" customHeight="false" outlineLevel="0" collapsed="false">
      <c r="F358" s="50"/>
      <c r="G358" s="50"/>
      <c r="H358" s="50"/>
      <c r="I358" s="50"/>
    </row>
    <row r="359" customFormat="false" ht="15.75" hidden="false" customHeight="false" outlineLevel="0" collapsed="false">
      <c r="F359" s="50"/>
      <c r="G359" s="50"/>
      <c r="H359" s="50"/>
      <c r="I359" s="50"/>
    </row>
    <row r="360" customFormat="false" ht="15.75" hidden="false" customHeight="false" outlineLevel="0" collapsed="false">
      <c r="F360" s="50"/>
      <c r="G360" s="50"/>
      <c r="H360" s="50"/>
      <c r="I360" s="50"/>
    </row>
    <row r="361" customFormat="false" ht="15.75" hidden="false" customHeight="false" outlineLevel="0" collapsed="false">
      <c r="F361" s="50"/>
      <c r="G361" s="50"/>
      <c r="H361" s="50"/>
      <c r="I361" s="50"/>
    </row>
    <row r="362" customFormat="false" ht="15.75" hidden="false" customHeight="false" outlineLevel="0" collapsed="false">
      <c r="F362" s="50"/>
      <c r="G362" s="50"/>
      <c r="H362" s="50"/>
      <c r="I362" s="50"/>
    </row>
    <row r="363" customFormat="false" ht="15.75" hidden="false" customHeight="false" outlineLevel="0" collapsed="false">
      <c r="F363" s="50"/>
      <c r="G363" s="50"/>
      <c r="H363" s="50"/>
      <c r="I363" s="50"/>
    </row>
    <row r="364" customFormat="false" ht="15.75" hidden="false" customHeight="false" outlineLevel="0" collapsed="false">
      <c r="F364" s="50"/>
      <c r="G364" s="50"/>
      <c r="H364" s="50"/>
      <c r="I364" s="50"/>
    </row>
    <row r="365" customFormat="false" ht="15.75" hidden="false" customHeight="false" outlineLevel="0" collapsed="false">
      <c r="F365" s="50"/>
      <c r="G365" s="50"/>
      <c r="H365" s="50"/>
      <c r="I365" s="50"/>
    </row>
    <row r="366" customFormat="false" ht="15.75" hidden="false" customHeight="false" outlineLevel="0" collapsed="false">
      <c r="F366" s="50"/>
      <c r="G366" s="50"/>
      <c r="H366" s="50"/>
      <c r="I366" s="50"/>
    </row>
    <row r="367" customFormat="false" ht="15.75" hidden="false" customHeight="false" outlineLevel="0" collapsed="false">
      <c r="F367" s="50"/>
      <c r="G367" s="50"/>
      <c r="H367" s="50"/>
      <c r="I367" s="50"/>
    </row>
    <row r="368" customFormat="false" ht="15.75" hidden="false" customHeight="false" outlineLevel="0" collapsed="false">
      <c r="F368" s="50"/>
      <c r="G368" s="50"/>
      <c r="H368" s="50"/>
      <c r="I368" s="50"/>
    </row>
    <row r="369" customFormat="false" ht="15.75" hidden="false" customHeight="false" outlineLevel="0" collapsed="false">
      <c r="F369" s="50"/>
      <c r="G369" s="50"/>
      <c r="H369" s="50"/>
      <c r="I369" s="50"/>
    </row>
    <row r="370" customFormat="false" ht="15.75" hidden="false" customHeight="false" outlineLevel="0" collapsed="false">
      <c r="F370" s="50"/>
      <c r="G370" s="50"/>
      <c r="H370" s="50"/>
      <c r="I370" s="50"/>
    </row>
    <row r="371" customFormat="false" ht="15.75" hidden="false" customHeight="false" outlineLevel="0" collapsed="false">
      <c r="F371" s="50"/>
      <c r="G371" s="50"/>
      <c r="H371" s="50"/>
      <c r="I371" s="50"/>
    </row>
    <row r="372" customFormat="false" ht="15.75" hidden="false" customHeight="false" outlineLevel="0" collapsed="false">
      <c r="F372" s="50"/>
      <c r="G372" s="50"/>
      <c r="H372" s="50"/>
      <c r="I372" s="50"/>
    </row>
    <row r="373" customFormat="false" ht="15.75" hidden="false" customHeight="false" outlineLevel="0" collapsed="false">
      <c r="F373" s="50"/>
      <c r="G373" s="50"/>
      <c r="H373" s="50"/>
      <c r="I373" s="50"/>
    </row>
    <row r="374" customFormat="false" ht="15.75" hidden="false" customHeight="false" outlineLevel="0" collapsed="false">
      <c r="F374" s="50"/>
      <c r="G374" s="50"/>
      <c r="H374" s="50"/>
      <c r="I374" s="50"/>
    </row>
    <row r="375" customFormat="false" ht="15.75" hidden="false" customHeight="false" outlineLevel="0" collapsed="false">
      <c r="F375" s="50"/>
      <c r="G375" s="50"/>
      <c r="H375" s="50"/>
      <c r="I375" s="50"/>
    </row>
    <row r="376" customFormat="false" ht="15.75" hidden="false" customHeight="false" outlineLevel="0" collapsed="false">
      <c r="F376" s="50"/>
      <c r="G376" s="50"/>
      <c r="H376" s="50"/>
      <c r="I376" s="50"/>
    </row>
    <row r="377" customFormat="false" ht="15.75" hidden="false" customHeight="false" outlineLevel="0" collapsed="false">
      <c r="F377" s="50"/>
      <c r="G377" s="50"/>
      <c r="H377" s="50"/>
      <c r="I377" s="50"/>
    </row>
    <row r="378" customFormat="false" ht="15.75" hidden="false" customHeight="false" outlineLevel="0" collapsed="false">
      <c r="F378" s="50"/>
      <c r="G378" s="50"/>
      <c r="H378" s="50"/>
      <c r="I378" s="50"/>
    </row>
    <row r="379" customFormat="false" ht="15.75" hidden="false" customHeight="false" outlineLevel="0" collapsed="false">
      <c r="F379" s="50"/>
      <c r="G379" s="50"/>
      <c r="H379" s="50"/>
      <c r="I379" s="50"/>
    </row>
    <row r="380" customFormat="false" ht="15.75" hidden="false" customHeight="false" outlineLevel="0" collapsed="false">
      <c r="F380" s="50"/>
      <c r="G380" s="50"/>
      <c r="H380" s="50"/>
      <c r="I380" s="50"/>
    </row>
    <row r="381" customFormat="false" ht="15.75" hidden="false" customHeight="false" outlineLevel="0" collapsed="false">
      <c r="F381" s="50"/>
      <c r="G381" s="50"/>
      <c r="H381" s="50"/>
      <c r="I381" s="50"/>
    </row>
    <row r="382" customFormat="false" ht="15.75" hidden="false" customHeight="false" outlineLevel="0" collapsed="false">
      <c r="F382" s="50"/>
      <c r="G382" s="50"/>
      <c r="H382" s="50"/>
      <c r="I382" s="50"/>
    </row>
    <row r="383" customFormat="false" ht="15.75" hidden="false" customHeight="false" outlineLevel="0" collapsed="false">
      <c r="F383" s="50"/>
      <c r="G383" s="50"/>
      <c r="H383" s="50"/>
      <c r="I383" s="50"/>
    </row>
    <row r="384" customFormat="false" ht="15.75" hidden="false" customHeight="false" outlineLevel="0" collapsed="false">
      <c r="F384" s="50"/>
      <c r="G384" s="50"/>
      <c r="H384" s="50"/>
      <c r="I384" s="50"/>
    </row>
    <row r="385" customFormat="false" ht="15.75" hidden="false" customHeight="false" outlineLevel="0" collapsed="false">
      <c r="F385" s="50"/>
      <c r="G385" s="50"/>
      <c r="H385" s="50"/>
      <c r="I385" s="50"/>
    </row>
    <row r="386" customFormat="false" ht="15.75" hidden="false" customHeight="false" outlineLevel="0" collapsed="false">
      <c r="F386" s="50"/>
      <c r="G386" s="50"/>
      <c r="H386" s="50"/>
      <c r="I386" s="50"/>
    </row>
    <row r="387" customFormat="false" ht="15.75" hidden="false" customHeight="false" outlineLevel="0" collapsed="false">
      <c r="F387" s="50"/>
      <c r="G387" s="50"/>
      <c r="H387" s="50"/>
      <c r="I387" s="50"/>
    </row>
    <row r="388" customFormat="false" ht="15.75" hidden="false" customHeight="false" outlineLevel="0" collapsed="false">
      <c r="F388" s="50"/>
      <c r="G388" s="50"/>
      <c r="H388" s="50"/>
      <c r="I388" s="50"/>
    </row>
    <row r="389" customFormat="false" ht="15.75" hidden="false" customHeight="false" outlineLevel="0" collapsed="false">
      <c r="F389" s="50"/>
      <c r="G389" s="50"/>
      <c r="H389" s="50"/>
      <c r="I389" s="50"/>
    </row>
    <row r="390" customFormat="false" ht="15.75" hidden="false" customHeight="false" outlineLevel="0" collapsed="false">
      <c r="F390" s="50"/>
      <c r="G390" s="50"/>
      <c r="H390" s="50"/>
      <c r="I390" s="50"/>
    </row>
    <row r="391" customFormat="false" ht="15.75" hidden="false" customHeight="false" outlineLevel="0" collapsed="false">
      <c r="F391" s="50"/>
      <c r="G391" s="50"/>
      <c r="H391" s="50"/>
      <c r="I391" s="50"/>
    </row>
    <row r="392" customFormat="false" ht="15.75" hidden="false" customHeight="false" outlineLevel="0" collapsed="false">
      <c r="F392" s="50"/>
      <c r="G392" s="50"/>
      <c r="H392" s="50"/>
      <c r="I392" s="50"/>
    </row>
    <row r="393" customFormat="false" ht="15.75" hidden="false" customHeight="false" outlineLevel="0" collapsed="false">
      <c r="F393" s="50"/>
      <c r="G393" s="50"/>
      <c r="H393" s="50"/>
      <c r="I393" s="50"/>
    </row>
    <row r="394" customFormat="false" ht="15.75" hidden="false" customHeight="false" outlineLevel="0" collapsed="false">
      <c r="F394" s="50"/>
      <c r="G394" s="50"/>
      <c r="H394" s="50"/>
      <c r="I394" s="50"/>
    </row>
    <row r="395" customFormat="false" ht="15.75" hidden="false" customHeight="false" outlineLevel="0" collapsed="false">
      <c r="F395" s="50"/>
      <c r="G395" s="50"/>
      <c r="H395" s="50"/>
      <c r="I395" s="50"/>
    </row>
    <row r="396" customFormat="false" ht="15.75" hidden="false" customHeight="false" outlineLevel="0" collapsed="false">
      <c r="F396" s="50"/>
      <c r="G396" s="50"/>
      <c r="H396" s="50"/>
      <c r="I396" s="50"/>
    </row>
    <row r="397" customFormat="false" ht="15.75" hidden="false" customHeight="false" outlineLevel="0" collapsed="false">
      <c r="F397" s="50"/>
      <c r="G397" s="50"/>
      <c r="H397" s="50"/>
      <c r="I397" s="50"/>
    </row>
    <row r="398" customFormat="false" ht="15.75" hidden="false" customHeight="false" outlineLevel="0" collapsed="false">
      <c r="F398" s="50"/>
      <c r="G398" s="50"/>
      <c r="H398" s="50"/>
      <c r="I398" s="50"/>
    </row>
    <row r="399" customFormat="false" ht="15.75" hidden="false" customHeight="false" outlineLevel="0" collapsed="false">
      <c r="F399" s="50"/>
      <c r="G399" s="50"/>
      <c r="H399" s="50"/>
      <c r="I399" s="50"/>
    </row>
    <row r="400" customFormat="false" ht="15.75" hidden="false" customHeight="false" outlineLevel="0" collapsed="false">
      <c r="F400" s="50"/>
      <c r="G400" s="50"/>
      <c r="H400" s="50"/>
      <c r="I400" s="50"/>
    </row>
    <row r="401" customFormat="false" ht="15.75" hidden="false" customHeight="false" outlineLevel="0" collapsed="false">
      <c r="F401" s="50"/>
      <c r="G401" s="50"/>
      <c r="H401" s="50"/>
      <c r="I401" s="50"/>
    </row>
    <row r="402" customFormat="false" ht="15.75" hidden="false" customHeight="false" outlineLevel="0" collapsed="false">
      <c r="F402" s="50"/>
      <c r="G402" s="50"/>
      <c r="H402" s="50"/>
      <c r="I402" s="50"/>
    </row>
    <row r="403" customFormat="false" ht="15.75" hidden="false" customHeight="false" outlineLevel="0" collapsed="false">
      <c r="F403" s="50"/>
      <c r="G403" s="50"/>
      <c r="H403" s="50"/>
      <c r="I403" s="50"/>
    </row>
    <row r="404" customFormat="false" ht="15.75" hidden="false" customHeight="false" outlineLevel="0" collapsed="false">
      <c r="F404" s="50"/>
      <c r="G404" s="50"/>
      <c r="H404" s="50"/>
      <c r="I404" s="50"/>
    </row>
    <row r="405" customFormat="false" ht="15.75" hidden="false" customHeight="false" outlineLevel="0" collapsed="false">
      <c r="F405" s="50"/>
      <c r="G405" s="50"/>
      <c r="H405" s="50"/>
      <c r="I405" s="50"/>
    </row>
    <row r="406" customFormat="false" ht="15.75" hidden="false" customHeight="false" outlineLevel="0" collapsed="false">
      <c r="F406" s="50"/>
      <c r="G406" s="50"/>
      <c r="H406" s="50"/>
      <c r="I406" s="50"/>
    </row>
    <row r="407" customFormat="false" ht="15.75" hidden="false" customHeight="false" outlineLevel="0" collapsed="false">
      <c r="F407" s="50"/>
      <c r="G407" s="50"/>
      <c r="H407" s="50"/>
      <c r="I407" s="50"/>
    </row>
    <row r="408" customFormat="false" ht="15.75" hidden="false" customHeight="false" outlineLevel="0" collapsed="false">
      <c r="F408" s="50"/>
      <c r="G408" s="50"/>
      <c r="H408" s="50"/>
      <c r="I408" s="50"/>
    </row>
    <row r="409" customFormat="false" ht="15.75" hidden="false" customHeight="false" outlineLevel="0" collapsed="false">
      <c r="F409" s="50"/>
      <c r="G409" s="50"/>
      <c r="H409" s="50"/>
      <c r="I409" s="50"/>
    </row>
    <row r="410" customFormat="false" ht="15.75" hidden="false" customHeight="false" outlineLevel="0" collapsed="false">
      <c r="F410" s="50"/>
      <c r="G410" s="50"/>
      <c r="H410" s="50"/>
      <c r="I410" s="50"/>
    </row>
    <row r="411" customFormat="false" ht="15.75" hidden="false" customHeight="false" outlineLevel="0" collapsed="false">
      <c r="F411" s="50"/>
      <c r="G411" s="50"/>
      <c r="H411" s="50"/>
      <c r="I411" s="50"/>
    </row>
    <row r="412" customFormat="false" ht="15.75" hidden="false" customHeight="false" outlineLevel="0" collapsed="false">
      <c r="F412" s="50"/>
      <c r="G412" s="50"/>
      <c r="H412" s="50"/>
      <c r="I412" s="50"/>
    </row>
    <row r="413" customFormat="false" ht="15.75" hidden="false" customHeight="false" outlineLevel="0" collapsed="false">
      <c r="F413" s="50"/>
      <c r="G413" s="50"/>
      <c r="H413" s="50"/>
      <c r="I413" s="50"/>
    </row>
    <row r="414" customFormat="false" ht="15.75" hidden="false" customHeight="false" outlineLevel="0" collapsed="false">
      <c r="F414" s="50"/>
      <c r="G414" s="50"/>
      <c r="H414" s="50"/>
      <c r="I414" s="50"/>
    </row>
    <row r="415" customFormat="false" ht="15.75" hidden="false" customHeight="false" outlineLevel="0" collapsed="false">
      <c r="F415" s="50"/>
      <c r="G415" s="50"/>
      <c r="H415" s="50"/>
      <c r="I415" s="50"/>
    </row>
    <row r="416" customFormat="false" ht="15.75" hidden="false" customHeight="false" outlineLevel="0" collapsed="false">
      <c r="F416" s="50"/>
      <c r="G416" s="50"/>
      <c r="H416" s="50"/>
      <c r="I416" s="50"/>
    </row>
    <row r="417" customFormat="false" ht="15.75" hidden="false" customHeight="false" outlineLevel="0" collapsed="false">
      <c r="F417" s="50"/>
      <c r="G417" s="50"/>
      <c r="H417" s="50"/>
      <c r="I417" s="50"/>
    </row>
    <row r="418" customFormat="false" ht="15.75" hidden="false" customHeight="false" outlineLevel="0" collapsed="false">
      <c r="F418" s="50"/>
      <c r="G418" s="50"/>
      <c r="H418" s="50"/>
      <c r="I418" s="50"/>
    </row>
    <row r="419" customFormat="false" ht="15.75" hidden="false" customHeight="false" outlineLevel="0" collapsed="false">
      <c r="F419" s="50"/>
      <c r="G419" s="50"/>
      <c r="H419" s="50"/>
      <c r="I419" s="50"/>
    </row>
    <row r="420" customFormat="false" ht="15.75" hidden="false" customHeight="false" outlineLevel="0" collapsed="false">
      <c r="F420" s="50"/>
      <c r="G420" s="50"/>
      <c r="H420" s="50"/>
      <c r="I420" s="50"/>
    </row>
    <row r="421" customFormat="false" ht="15.75" hidden="false" customHeight="false" outlineLevel="0" collapsed="false">
      <c r="F421" s="50"/>
      <c r="G421" s="50"/>
      <c r="H421" s="50"/>
      <c r="I421" s="50"/>
    </row>
    <row r="422" customFormat="false" ht="15.75" hidden="false" customHeight="false" outlineLevel="0" collapsed="false">
      <c r="F422" s="50"/>
      <c r="G422" s="50"/>
      <c r="H422" s="50"/>
      <c r="I422" s="50"/>
    </row>
    <row r="423" customFormat="false" ht="15.75" hidden="false" customHeight="false" outlineLevel="0" collapsed="false">
      <c r="F423" s="50"/>
      <c r="G423" s="50"/>
      <c r="H423" s="50"/>
      <c r="I423" s="50"/>
    </row>
    <row r="424" customFormat="false" ht="15.75" hidden="false" customHeight="false" outlineLevel="0" collapsed="false">
      <c r="F424" s="50"/>
      <c r="G424" s="50"/>
      <c r="H424" s="50"/>
      <c r="I424" s="50"/>
    </row>
    <row r="425" customFormat="false" ht="15.75" hidden="false" customHeight="false" outlineLevel="0" collapsed="false">
      <c r="F425" s="50"/>
      <c r="G425" s="50"/>
      <c r="H425" s="50"/>
      <c r="I425" s="50"/>
    </row>
    <row r="426" customFormat="false" ht="15.75" hidden="false" customHeight="false" outlineLevel="0" collapsed="false">
      <c r="F426" s="50"/>
      <c r="G426" s="50"/>
      <c r="H426" s="50"/>
      <c r="I426" s="50"/>
    </row>
    <row r="427" customFormat="false" ht="15.75" hidden="false" customHeight="false" outlineLevel="0" collapsed="false">
      <c r="F427" s="50"/>
      <c r="G427" s="50"/>
      <c r="H427" s="50"/>
      <c r="I427" s="50"/>
    </row>
    <row r="428" customFormat="false" ht="15.75" hidden="false" customHeight="false" outlineLevel="0" collapsed="false">
      <c r="F428" s="50"/>
      <c r="G428" s="50"/>
      <c r="H428" s="50"/>
      <c r="I428" s="50"/>
    </row>
    <row r="429" customFormat="false" ht="15.75" hidden="false" customHeight="false" outlineLevel="0" collapsed="false">
      <c r="F429" s="50"/>
      <c r="G429" s="50"/>
      <c r="H429" s="50"/>
      <c r="I429" s="50"/>
    </row>
    <row r="430" customFormat="false" ht="15.75" hidden="false" customHeight="false" outlineLevel="0" collapsed="false">
      <c r="F430" s="50"/>
      <c r="G430" s="50"/>
      <c r="H430" s="50"/>
      <c r="I430" s="50"/>
    </row>
    <row r="431" customFormat="false" ht="15.75" hidden="false" customHeight="false" outlineLevel="0" collapsed="false">
      <c r="F431" s="50"/>
      <c r="G431" s="50"/>
      <c r="H431" s="50"/>
      <c r="I431" s="50"/>
    </row>
    <row r="432" customFormat="false" ht="15.75" hidden="false" customHeight="false" outlineLevel="0" collapsed="false">
      <c r="F432" s="50"/>
      <c r="G432" s="50"/>
      <c r="H432" s="50"/>
      <c r="I432" s="50"/>
    </row>
    <row r="433" customFormat="false" ht="15.75" hidden="false" customHeight="false" outlineLevel="0" collapsed="false">
      <c r="F433" s="50"/>
      <c r="G433" s="50"/>
      <c r="H433" s="50"/>
      <c r="I433" s="50"/>
    </row>
    <row r="434" customFormat="false" ht="15.75" hidden="false" customHeight="false" outlineLevel="0" collapsed="false">
      <c r="F434" s="50"/>
      <c r="G434" s="50"/>
      <c r="H434" s="50"/>
      <c r="I434" s="50"/>
    </row>
    <row r="435" customFormat="false" ht="15.75" hidden="false" customHeight="false" outlineLevel="0" collapsed="false">
      <c r="F435" s="50"/>
      <c r="G435" s="50"/>
      <c r="H435" s="50"/>
      <c r="I435" s="50"/>
    </row>
    <row r="436" customFormat="false" ht="15.75" hidden="false" customHeight="false" outlineLevel="0" collapsed="false">
      <c r="F436" s="50"/>
      <c r="G436" s="50"/>
      <c r="H436" s="50"/>
      <c r="I436" s="50"/>
    </row>
    <row r="437" customFormat="false" ht="15.75" hidden="false" customHeight="false" outlineLevel="0" collapsed="false">
      <c r="F437" s="50"/>
      <c r="G437" s="50"/>
      <c r="H437" s="50"/>
      <c r="I437" s="50"/>
    </row>
    <row r="438" customFormat="false" ht="15.75" hidden="false" customHeight="false" outlineLevel="0" collapsed="false">
      <c r="F438" s="50"/>
      <c r="G438" s="50"/>
      <c r="H438" s="50"/>
      <c r="I438" s="50"/>
    </row>
    <row r="439" customFormat="false" ht="15.75" hidden="false" customHeight="false" outlineLevel="0" collapsed="false">
      <c r="F439" s="50"/>
      <c r="G439" s="50"/>
      <c r="H439" s="50"/>
      <c r="I439" s="50"/>
    </row>
    <row r="440" customFormat="false" ht="15.75" hidden="false" customHeight="false" outlineLevel="0" collapsed="false">
      <c r="F440" s="50"/>
      <c r="G440" s="50"/>
      <c r="H440" s="50"/>
      <c r="I440" s="50"/>
    </row>
    <row r="441" customFormat="false" ht="15.75" hidden="false" customHeight="false" outlineLevel="0" collapsed="false">
      <c r="F441" s="50"/>
      <c r="G441" s="50"/>
      <c r="H441" s="50"/>
      <c r="I441" s="50"/>
    </row>
    <row r="442" customFormat="false" ht="15.75" hidden="false" customHeight="false" outlineLevel="0" collapsed="false">
      <c r="F442" s="50"/>
      <c r="G442" s="50"/>
      <c r="H442" s="50"/>
      <c r="I442" s="50"/>
    </row>
    <row r="443" customFormat="false" ht="15.75" hidden="false" customHeight="false" outlineLevel="0" collapsed="false">
      <c r="F443" s="50"/>
      <c r="G443" s="50"/>
      <c r="H443" s="50"/>
      <c r="I443" s="50"/>
    </row>
    <row r="444" customFormat="false" ht="15.75" hidden="false" customHeight="false" outlineLevel="0" collapsed="false">
      <c r="F444" s="50"/>
      <c r="G444" s="50"/>
      <c r="H444" s="50"/>
      <c r="I444" s="50"/>
    </row>
    <row r="445" customFormat="false" ht="15.75" hidden="false" customHeight="false" outlineLevel="0" collapsed="false">
      <c r="F445" s="50"/>
      <c r="G445" s="50"/>
      <c r="H445" s="50"/>
      <c r="I445" s="50"/>
    </row>
    <row r="446" customFormat="false" ht="15.75" hidden="false" customHeight="false" outlineLevel="0" collapsed="false">
      <c r="F446" s="50"/>
      <c r="G446" s="50"/>
      <c r="H446" s="50"/>
      <c r="I446" s="50"/>
    </row>
    <row r="447" customFormat="false" ht="15.75" hidden="false" customHeight="false" outlineLevel="0" collapsed="false">
      <c r="F447" s="50"/>
      <c r="G447" s="50"/>
      <c r="H447" s="50"/>
      <c r="I447" s="50"/>
    </row>
    <row r="448" customFormat="false" ht="15.75" hidden="false" customHeight="false" outlineLevel="0" collapsed="false">
      <c r="F448" s="50"/>
      <c r="G448" s="50"/>
      <c r="H448" s="50"/>
      <c r="I448" s="50"/>
    </row>
    <row r="449" customFormat="false" ht="15.75" hidden="false" customHeight="false" outlineLevel="0" collapsed="false">
      <c r="F449" s="50"/>
      <c r="G449" s="50"/>
      <c r="H449" s="50"/>
      <c r="I449" s="50"/>
    </row>
    <row r="450" customFormat="false" ht="15.75" hidden="false" customHeight="false" outlineLevel="0" collapsed="false">
      <c r="F450" s="50"/>
      <c r="G450" s="50"/>
      <c r="H450" s="50"/>
      <c r="I450" s="50"/>
    </row>
    <row r="451" customFormat="false" ht="15.75" hidden="false" customHeight="false" outlineLevel="0" collapsed="false">
      <c r="F451" s="50"/>
      <c r="G451" s="50"/>
      <c r="H451" s="50"/>
      <c r="I451" s="50"/>
    </row>
    <row r="452" customFormat="false" ht="15.75" hidden="false" customHeight="false" outlineLevel="0" collapsed="false">
      <c r="F452" s="50"/>
      <c r="G452" s="50"/>
      <c r="H452" s="50"/>
      <c r="I452" s="50"/>
    </row>
    <row r="453" customFormat="false" ht="15.75" hidden="false" customHeight="false" outlineLevel="0" collapsed="false">
      <c r="F453" s="50"/>
      <c r="G453" s="50"/>
      <c r="H453" s="50"/>
      <c r="I453" s="50"/>
    </row>
    <row r="454" customFormat="false" ht="15.75" hidden="false" customHeight="false" outlineLevel="0" collapsed="false">
      <c r="F454" s="50"/>
      <c r="G454" s="50"/>
      <c r="H454" s="50"/>
      <c r="I454" s="50"/>
    </row>
    <row r="455" customFormat="false" ht="15.75" hidden="false" customHeight="false" outlineLevel="0" collapsed="false">
      <c r="F455" s="50"/>
      <c r="G455" s="50"/>
      <c r="H455" s="50"/>
      <c r="I455" s="50"/>
    </row>
    <row r="456" customFormat="false" ht="15.75" hidden="false" customHeight="false" outlineLevel="0" collapsed="false">
      <c r="F456" s="50"/>
      <c r="G456" s="50"/>
      <c r="H456" s="50"/>
      <c r="I456" s="50"/>
    </row>
    <row r="457" customFormat="false" ht="15.75" hidden="false" customHeight="false" outlineLevel="0" collapsed="false">
      <c r="F457" s="50"/>
      <c r="G457" s="50"/>
      <c r="H457" s="50"/>
      <c r="I457" s="50"/>
    </row>
    <row r="458" customFormat="false" ht="15.75" hidden="false" customHeight="false" outlineLevel="0" collapsed="false">
      <c r="F458" s="50"/>
      <c r="G458" s="50"/>
      <c r="H458" s="50"/>
      <c r="I458" s="50"/>
    </row>
    <row r="459" customFormat="false" ht="15.75" hidden="false" customHeight="false" outlineLevel="0" collapsed="false">
      <c r="F459" s="50"/>
      <c r="G459" s="50"/>
      <c r="H459" s="50"/>
      <c r="I459" s="50"/>
    </row>
    <row r="460" customFormat="false" ht="15.75" hidden="false" customHeight="false" outlineLevel="0" collapsed="false">
      <c r="F460" s="50"/>
      <c r="G460" s="50"/>
      <c r="H460" s="50"/>
      <c r="I460" s="50"/>
    </row>
    <row r="461" customFormat="false" ht="15.75" hidden="false" customHeight="false" outlineLevel="0" collapsed="false">
      <c r="F461" s="50"/>
      <c r="G461" s="50"/>
      <c r="H461" s="50"/>
      <c r="I461" s="50"/>
    </row>
    <row r="462" customFormat="false" ht="15.75" hidden="false" customHeight="false" outlineLevel="0" collapsed="false">
      <c r="F462" s="50"/>
      <c r="G462" s="50"/>
      <c r="H462" s="50"/>
      <c r="I462" s="50"/>
    </row>
    <row r="463" customFormat="false" ht="15.75" hidden="false" customHeight="false" outlineLevel="0" collapsed="false">
      <c r="F463" s="50"/>
      <c r="G463" s="50"/>
      <c r="H463" s="50"/>
      <c r="I463" s="50"/>
    </row>
    <row r="464" customFormat="false" ht="15.75" hidden="false" customHeight="false" outlineLevel="0" collapsed="false">
      <c r="F464" s="50"/>
      <c r="G464" s="50"/>
      <c r="H464" s="50"/>
      <c r="I464" s="50"/>
    </row>
    <row r="465" customFormat="false" ht="15.75" hidden="false" customHeight="false" outlineLevel="0" collapsed="false">
      <c r="F465" s="50"/>
      <c r="G465" s="50"/>
      <c r="H465" s="50"/>
      <c r="I465" s="50"/>
    </row>
    <row r="466" customFormat="false" ht="15.75" hidden="false" customHeight="false" outlineLevel="0" collapsed="false">
      <c r="F466" s="50"/>
      <c r="G466" s="50"/>
      <c r="H466" s="50"/>
      <c r="I466" s="50"/>
    </row>
    <row r="467" customFormat="false" ht="15.75" hidden="false" customHeight="false" outlineLevel="0" collapsed="false">
      <c r="F467" s="50"/>
      <c r="G467" s="50"/>
      <c r="H467" s="50"/>
      <c r="I467" s="50"/>
    </row>
    <row r="468" customFormat="false" ht="15.75" hidden="false" customHeight="false" outlineLevel="0" collapsed="false">
      <c r="F468" s="50"/>
      <c r="G468" s="50"/>
      <c r="H468" s="50"/>
      <c r="I468" s="50"/>
    </row>
    <row r="469" customFormat="false" ht="15.75" hidden="false" customHeight="false" outlineLevel="0" collapsed="false">
      <c r="F469" s="50"/>
      <c r="G469" s="50"/>
      <c r="H469" s="50"/>
      <c r="I469" s="50"/>
    </row>
    <row r="470" customFormat="false" ht="15.75" hidden="false" customHeight="false" outlineLevel="0" collapsed="false">
      <c r="F470" s="50"/>
      <c r="G470" s="50"/>
      <c r="H470" s="50"/>
      <c r="I470" s="50"/>
    </row>
    <row r="471" customFormat="false" ht="15.75" hidden="false" customHeight="false" outlineLevel="0" collapsed="false">
      <c r="F471" s="50"/>
      <c r="G471" s="50"/>
      <c r="H471" s="50"/>
      <c r="I471" s="50"/>
    </row>
    <row r="472" customFormat="false" ht="15.75" hidden="false" customHeight="false" outlineLevel="0" collapsed="false">
      <c r="F472" s="50"/>
      <c r="G472" s="50"/>
      <c r="H472" s="50"/>
      <c r="I472" s="50"/>
    </row>
    <row r="473" customFormat="false" ht="15.75" hidden="false" customHeight="false" outlineLevel="0" collapsed="false">
      <c r="F473" s="50"/>
      <c r="G473" s="50"/>
      <c r="H473" s="50"/>
      <c r="I473" s="50"/>
    </row>
    <row r="474" customFormat="false" ht="15.75" hidden="false" customHeight="false" outlineLevel="0" collapsed="false">
      <c r="F474" s="50"/>
      <c r="G474" s="50"/>
      <c r="H474" s="50"/>
      <c r="I474" s="50"/>
    </row>
    <row r="475" customFormat="false" ht="15.75" hidden="false" customHeight="false" outlineLevel="0" collapsed="false">
      <c r="F475" s="50"/>
      <c r="G475" s="50"/>
      <c r="H475" s="50"/>
      <c r="I475" s="50"/>
    </row>
    <row r="476" customFormat="false" ht="15.75" hidden="false" customHeight="false" outlineLevel="0" collapsed="false">
      <c r="F476" s="50"/>
      <c r="G476" s="50"/>
      <c r="H476" s="50"/>
      <c r="I476" s="50"/>
    </row>
    <row r="477" customFormat="false" ht="15.75" hidden="false" customHeight="false" outlineLevel="0" collapsed="false">
      <c r="F477" s="50"/>
      <c r="G477" s="50"/>
      <c r="H477" s="50"/>
      <c r="I477" s="50"/>
    </row>
    <row r="478" customFormat="false" ht="15.75" hidden="false" customHeight="false" outlineLevel="0" collapsed="false">
      <c r="F478" s="50"/>
      <c r="G478" s="50"/>
      <c r="H478" s="50"/>
      <c r="I478" s="50"/>
    </row>
    <row r="479" customFormat="false" ht="15.75" hidden="false" customHeight="false" outlineLevel="0" collapsed="false">
      <c r="F479" s="50"/>
      <c r="G479" s="50"/>
      <c r="H479" s="50"/>
      <c r="I479" s="50"/>
    </row>
    <row r="480" customFormat="false" ht="15.75" hidden="false" customHeight="false" outlineLevel="0" collapsed="false">
      <c r="F480" s="50"/>
      <c r="G480" s="50"/>
      <c r="H480" s="50"/>
      <c r="I480" s="50"/>
    </row>
    <row r="481" customFormat="false" ht="15.75" hidden="false" customHeight="false" outlineLevel="0" collapsed="false">
      <c r="F481" s="50"/>
      <c r="G481" s="50"/>
      <c r="H481" s="50"/>
      <c r="I481" s="50"/>
    </row>
    <row r="482" customFormat="false" ht="15.75" hidden="false" customHeight="false" outlineLevel="0" collapsed="false">
      <c r="F482" s="50"/>
      <c r="G482" s="50"/>
      <c r="H482" s="50"/>
      <c r="I482" s="50"/>
    </row>
    <row r="483" customFormat="false" ht="15.75" hidden="false" customHeight="false" outlineLevel="0" collapsed="false">
      <c r="F483" s="50"/>
      <c r="G483" s="50"/>
      <c r="H483" s="50"/>
      <c r="I483" s="50"/>
    </row>
    <row r="484" customFormat="false" ht="15.75" hidden="false" customHeight="false" outlineLevel="0" collapsed="false">
      <c r="F484" s="50"/>
      <c r="G484" s="50"/>
      <c r="H484" s="50"/>
      <c r="I484" s="50"/>
    </row>
    <row r="485" customFormat="false" ht="15.75" hidden="false" customHeight="false" outlineLevel="0" collapsed="false">
      <c r="F485" s="50"/>
      <c r="G485" s="50"/>
      <c r="H485" s="50"/>
      <c r="I485" s="50"/>
    </row>
    <row r="486" customFormat="false" ht="15.75" hidden="false" customHeight="false" outlineLevel="0" collapsed="false">
      <c r="F486" s="50"/>
      <c r="G486" s="50"/>
      <c r="H486" s="50"/>
      <c r="I486" s="50"/>
    </row>
    <row r="487" customFormat="false" ht="15.75" hidden="false" customHeight="false" outlineLevel="0" collapsed="false">
      <c r="F487" s="50"/>
      <c r="G487" s="50"/>
      <c r="H487" s="50"/>
      <c r="I487" s="50"/>
    </row>
    <row r="488" customFormat="false" ht="15.75" hidden="false" customHeight="false" outlineLevel="0" collapsed="false">
      <c r="F488" s="50"/>
      <c r="G488" s="50"/>
      <c r="H488" s="50"/>
      <c r="I488" s="50"/>
    </row>
    <row r="489" customFormat="false" ht="15.75" hidden="false" customHeight="false" outlineLevel="0" collapsed="false">
      <c r="F489" s="50"/>
      <c r="G489" s="50"/>
      <c r="H489" s="50"/>
      <c r="I489" s="50"/>
    </row>
    <row r="490" customFormat="false" ht="15.75" hidden="false" customHeight="false" outlineLevel="0" collapsed="false">
      <c r="F490" s="50"/>
      <c r="G490" s="50"/>
      <c r="H490" s="50"/>
      <c r="I490" s="50"/>
    </row>
    <row r="491" customFormat="false" ht="15.75" hidden="false" customHeight="false" outlineLevel="0" collapsed="false">
      <c r="F491" s="50"/>
      <c r="G491" s="50"/>
      <c r="H491" s="50"/>
      <c r="I491" s="50"/>
    </row>
    <row r="492" customFormat="false" ht="15.75" hidden="false" customHeight="false" outlineLevel="0" collapsed="false">
      <c r="F492" s="50"/>
      <c r="G492" s="50"/>
      <c r="H492" s="50"/>
      <c r="I492" s="50"/>
    </row>
    <row r="493" customFormat="false" ht="15.75" hidden="false" customHeight="false" outlineLevel="0" collapsed="false">
      <c r="F493" s="50"/>
      <c r="G493" s="50"/>
      <c r="H493" s="50"/>
      <c r="I493" s="50"/>
    </row>
    <row r="494" customFormat="false" ht="15.75" hidden="false" customHeight="false" outlineLevel="0" collapsed="false">
      <c r="F494" s="50"/>
      <c r="G494" s="50"/>
      <c r="H494" s="50"/>
      <c r="I494" s="50"/>
    </row>
    <row r="495" customFormat="false" ht="15.75" hidden="false" customHeight="false" outlineLevel="0" collapsed="false">
      <c r="F495" s="50"/>
      <c r="G495" s="50"/>
      <c r="H495" s="50"/>
      <c r="I495" s="50"/>
    </row>
    <row r="496" customFormat="false" ht="15.75" hidden="false" customHeight="false" outlineLevel="0" collapsed="false">
      <c r="F496" s="50"/>
      <c r="G496" s="50"/>
      <c r="H496" s="50"/>
      <c r="I496" s="50"/>
    </row>
    <row r="497" customFormat="false" ht="15.75" hidden="false" customHeight="false" outlineLevel="0" collapsed="false">
      <c r="F497" s="50"/>
      <c r="G497" s="50"/>
      <c r="H497" s="50"/>
      <c r="I497" s="50"/>
    </row>
    <row r="498" customFormat="false" ht="15.75" hidden="false" customHeight="false" outlineLevel="0" collapsed="false">
      <c r="F498" s="50"/>
      <c r="G498" s="50"/>
      <c r="H498" s="50"/>
      <c r="I498" s="50"/>
    </row>
    <row r="499" customFormat="false" ht="15.75" hidden="false" customHeight="false" outlineLevel="0" collapsed="false">
      <c r="F499" s="50"/>
      <c r="G499" s="50"/>
      <c r="H499" s="50"/>
      <c r="I499" s="50"/>
    </row>
    <row r="500" customFormat="false" ht="15.75" hidden="false" customHeight="false" outlineLevel="0" collapsed="false">
      <c r="F500" s="50"/>
      <c r="G500" s="50"/>
      <c r="H500" s="50"/>
      <c r="I500" s="50"/>
    </row>
    <row r="501" customFormat="false" ht="15.75" hidden="false" customHeight="false" outlineLevel="0" collapsed="false">
      <c r="F501" s="50"/>
      <c r="G501" s="50"/>
      <c r="H501" s="50"/>
      <c r="I501" s="50"/>
    </row>
    <row r="502" customFormat="false" ht="15.75" hidden="false" customHeight="false" outlineLevel="0" collapsed="false">
      <c r="F502" s="50"/>
      <c r="G502" s="50"/>
      <c r="H502" s="50"/>
      <c r="I502" s="50"/>
    </row>
    <row r="503" customFormat="false" ht="15.75" hidden="false" customHeight="false" outlineLevel="0" collapsed="false">
      <c r="F503" s="50"/>
      <c r="G503" s="50"/>
      <c r="H503" s="50"/>
      <c r="I503" s="50"/>
    </row>
    <row r="504" customFormat="false" ht="15.75" hidden="false" customHeight="false" outlineLevel="0" collapsed="false">
      <c r="F504" s="50"/>
      <c r="G504" s="50"/>
      <c r="H504" s="50"/>
      <c r="I504" s="50"/>
    </row>
    <row r="505" customFormat="false" ht="15.75" hidden="false" customHeight="false" outlineLevel="0" collapsed="false">
      <c r="F505" s="50"/>
      <c r="G505" s="50"/>
      <c r="H505" s="50"/>
      <c r="I505" s="50"/>
    </row>
    <row r="506" customFormat="false" ht="15.75" hidden="false" customHeight="false" outlineLevel="0" collapsed="false">
      <c r="F506" s="50"/>
      <c r="G506" s="50"/>
      <c r="H506" s="50"/>
      <c r="I506" s="50"/>
    </row>
    <row r="507" customFormat="false" ht="15.75" hidden="false" customHeight="false" outlineLevel="0" collapsed="false">
      <c r="F507" s="50"/>
      <c r="G507" s="50"/>
      <c r="H507" s="50"/>
      <c r="I507" s="50"/>
    </row>
    <row r="508" customFormat="false" ht="15.75" hidden="false" customHeight="false" outlineLevel="0" collapsed="false">
      <c r="F508" s="50"/>
      <c r="G508" s="50"/>
      <c r="H508" s="50"/>
      <c r="I508" s="50"/>
    </row>
    <row r="509" customFormat="false" ht="15.75" hidden="false" customHeight="false" outlineLevel="0" collapsed="false">
      <c r="F509" s="50"/>
      <c r="G509" s="50"/>
      <c r="H509" s="50"/>
      <c r="I509" s="50"/>
    </row>
    <row r="510" customFormat="false" ht="15.75" hidden="false" customHeight="false" outlineLevel="0" collapsed="false">
      <c r="F510" s="50"/>
      <c r="G510" s="50"/>
      <c r="H510" s="50"/>
      <c r="I510" s="50"/>
    </row>
    <row r="511" customFormat="false" ht="15.75" hidden="false" customHeight="false" outlineLevel="0" collapsed="false">
      <c r="F511" s="50"/>
      <c r="G511" s="50"/>
      <c r="H511" s="50"/>
      <c r="I511" s="50"/>
    </row>
    <row r="512" customFormat="false" ht="15.75" hidden="false" customHeight="false" outlineLevel="0" collapsed="false">
      <c r="F512" s="50"/>
      <c r="G512" s="50"/>
      <c r="H512" s="50"/>
      <c r="I512" s="50"/>
    </row>
    <row r="513" customFormat="false" ht="15.75" hidden="false" customHeight="false" outlineLevel="0" collapsed="false">
      <c r="F513" s="50"/>
      <c r="G513" s="50"/>
      <c r="H513" s="50"/>
      <c r="I513" s="50"/>
    </row>
    <row r="514" customFormat="false" ht="15.75" hidden="false" customHeight="false" outlineLevel="0" collapsed="false">
      <c r="F514" s="50"/>
      <c r="G514" s="50"/>
      <c r="H514" s="50"/>
      <c r="I514" s="50"/>
    </row>
    <row r="515" customFormat="false" ht="15.75" hidden="false" customHeight="false" outlineLevel="0" collapsed="false">
      <c r="F515" s="50"/>
      <c r="G515" s="50"/>
      <c r="H515" s="50"/>
      <c r="I515" s="50"/>
    </row>
    <row r="516" customFormat="false" ht="15.75" hidden="false" customHeight="false" outlineLevel="0" collapsed="false">
      <c r="F516" s="50"/>
      <c r="G516" s="50"/>
      <c r="H516" s="50"/>
      <c r="I516" s="50"/>
    </row>
    <row r="517" customFormat="false" ht="15.75" hidden="false" customHeight="false" outlineLevel="0" collapsed="false">
      <c r="F517" s="50"/>
      <c r="G517" s="50"/>
      <c r="H517" s="50"/>
      <c r="I517" s="50"/>
    </row>
    <row r="518" customFormat="false" ht="15.75" hidden="false" customHeight="false" outlineLevel="0" collapsed="false">
      <c r="F518" s="50"/>
      <c r="G518" s="50"/>
      <c r="H518" s="50"/>
      <c r="I518" s="50"/>
    </row>
    <row r="519" customFormat="false" ht="15.75" hidden="false" customHeight="false" outlineLevel="0" collapsed="false">
      <c r="F519" s="50"/>
      <c r="G519" s="50"/>
      <c r="H519" s="50"/>
      <c r="I519" s="50"/>
    </row>
    <row r="520" customFormat="false" ht="15.75" hidden="false" customHeight="false" outlineLevel="0" collapsed="false">
      <c r="F520" s="50"/>
      <c r="G520" s="50"/>
      <c r="H520" s="50"/>
      <c r="I520" s="50"/>
    </row>
    <row r="521" customFormat="false" ht="15.75" hidden="false" customHeight="false" outlineLevel="0" collapsed="false">
      <c r="F521" s="50"/>
      <c r="G521" s="50"/>
      <c r="H521" s="50"/>
      <c r="I521" s="50"/>
    </row>
    <row r="522" customFormat="false" ht="15.75" hidden="false" customHeight="false" outlineLevel="0" collapsed="false">
      <c r="F522" s="50"/>
      <c r="G522" s="50"/>
      <c r="H522" s="50"/>
      <c r="I522" s="50"/>
    </row>
    <row r="523" customFormat="false" ht="15.75" hidden="false" customHeight="false" outlineLevel="0" collapsed="false">
      <c r="F523" s="50"/>
      <c r="G523" s="50"/>
      <c r="H523" s="50"/>
      <c r="I523" s="50"/>
    </row>
    <row r="524" customFormat="false" ht="15.75" hidden="false" customHeight="false" outlineLevel="0" collapsed="false">
      <c r="F524" s="50"/>
      <c r="G524" s="50"/>
      <c r="H524" s="50"/>
      <c r="I524" s="50"/>
    </row>
    <row r="525" customFormat="false" ht="15.75" hidden="false" customHeight="false" outlineLevel="0" collapsed="false">
      <c r="F525" s="50"/>
      <c r="G525" s="50"/>
      <c r="H525" s="50"/>
      <c r="I525" s="50"/>
    </row>
    <row r="526" customFormat="false" ht="15.75" hidden="false" customHeight="false" outlineLevel="0" collapsed="false">
      <c r="F526" s="50"/>
      <c r="G526" s="50"/>
      <c r="H526" s="50"/>
      <c r="I526" s="50"/>
    </row>
    <row r="527" customFormat="false" ht="15.75" hidden="false" customHeight="false" outlineLevel="0" collapsed="false">
      <c r="F527" s="50"/>
      <c r="G527" s="50"/>
      <c r="H527" s="50"/>
      <c r="I527" s="50"/>
    </row>
    <row r="528" customFormat="false" ht="15.75" hidden="false" customHeight="false" outlineLevel="0" collapsed="false">
      <c r="F528" s="50"/>
      <c r="G528" s="50"/>
      <c r="H528" s="50"/>
      <c r="I528" s="50"/>
    </row>
    <row r="529" customFormat="false" ht="15.75" hidden="false" customHeight="false" outlineLevel="0" collapsed="false">
      <c r="F529" s="50"/>
      <c r="G529" s="50"/>
      <c r="H529" s="50"/>
      <c r="I529" s="50"/>
    </row>
    <row r="530" customFormat="false" ht="15.75" hidden="false" customHeight="false" outlineLevel="0" collapsed="false">
      <c r="F530" s="50"/>
      <c r="G530" s="50"/>
      <c r="H530" s="50"/>
      <c r="I530" s="50"/>
    </row>
    <row r="531" customFormat="false" ht="15.75" hidden="false" customHeight="false" outlineLevel="0" collapsed="false">
      <c r="F531" s="50"/>
      <c r="G531" s="50"/>
      <c r="H531" s="50"/>
      <c r="I531" s="50"/>
    </row>
    <row r="532" customFormat="false" ht="15.75" hidden="false" customHeight="false" outlineLevel="0" collapsed="false">
      <c r="F532" s="50"/>
      <c r="G532" s="50"/>
      <c r="H532" s="50"/>
      <c r="I532" s="50"/>
    </row>
    <row r="533" customFormat="false" ht="15.75" hidden="false" customHeight="false" outlineLevel="0" collapsed="false">
      <c r="F533" s="50"/>
      <c r="G533" s="50"/>
      <c r="H533" s="50"/>
      <c r="I533" s="50"/>
    </row>
    <row r="534" customFormat="false" ht="15.75" hidden="false" customHeight="false" outlineLevel="0" collapsed="false">
      <c r="F534" s="50"/>
      <c r="G534" s="50"/>
      <c r="H534" s="50"/>
      <c r="I534" s="50"/>
    </row>
    <row r="535" customFormat="false" ht="15.75" hidden="false" customHeight="false" outlineLevel="0" collapsed="false">
      <c r="F535" s="50"/>
      <c r="G535" s="50"/>
      <c r="H535" s="50"/>
      <c r="I535" s="50"/>
    </row>
    <row r="536" customFormat="false" ht="15.75" hidden="false" customHeight="false" outlineLevel="0" collapsed="false">
      <c r="F536" s="50"/>
      <c r="G536" s="50"/>
      <c r="H536" s="50"/>
      <c r="I536" s="50"/>
    </row>
    <row r="537" customFormat="false" ht="15.75" hidden="false" customHeight="false" outlineLevel="0" collapsed="false">
      <c r="F537" s="50"/>
      <c r="G537" s="50"/>
      <c r="H537" s="50"/>
      <c r="I537" s="50"/>
    </row>
    <row r="538" customFormat="false" ht="15.75" hidden="false" customHeight="false" outlineLevel="0" collapsed="false">
      <c r="F538" s="50"/>
      <c r="G538" s="50"/>
      <c r="H538" s="50"/>
      <c r="I538" s="50"/>
    </row>
    <row r="539" customFormat="false" ht="15.75" hidden="false" customHeight="false" outlineLevel="0" collapsed="false">
      <c r="F539" s="50"/>
      <c r="G539" s="50"/>
      <c r="H539" s="50"/>
      <c r="I539" s="50"/>
    </row>
    <row r="540" customFormat="false" ht="15.75" hidden="false" customHeight="false" outlineLevel="0" collapsed="false">
      <c r="F540" s="50"/>
      <c r="G540" s="50"/>
      <c r="H540" s="50"/>
      <c r="I540" s="50"/>
    </row>
    <row r="541" customFormat="false" ht="15.75" hidden="false" customHeight="false" outlineLevel="0" collapsed="false">
      <c r="F541" s="50"/>
      <c r="G541" s="50"/>
      <c r="H541" s="50"/>
      <c r="I541" s="50"/>
    </row>
    <row r="542" customFormat="false" ht="15.75" hidden="false" customHeight="false" outlineLevel="0" collapsed="false">
      <c r="F542" s="50"/>
      <c r="G542" s="50"/>
      <c r="H542" s="50"/>
      <c r="I542" s="50"/>
    </row>
    <row r="543" customFormat="false" ht="15.75" hidden="false" customHeight="false" outlineLevel="0" collapsed="false">
      <c r="F543" s="50"/>
      <c r="G543" s="50"/>
      <c r="H543" s="50"/>
      <c r="I543" s="50"/>
    </row>
    <row r="544" customFormat="false" ht="15.75" hidden="false" customHeight="false" outlineLevel="0" collapsed="false">
      <c r="F544" s="50"/>
      <c r="G544" s="50"/>
      <c r="H544" s="50"/>
      <c r="I544" s="50"/>
    </row>
    <row r="545" customFormat="false" ht="15.75" hidden="false" customHeight="false" outlineLevel="0" collapsed="false">
      <c r="F545" s="50"/>
      <c r="G545" s="50"/>
      <c r="H545" s="50"/>
      <c r="I545" s="50"/>
    </row>
    <row r="546" customFormat="false" ht="15.75" hidden="false" customHeight="false" outlineLevel="0" collapsed="false">
      <c r="F546" s="50"/>
      <c r="G546" s="50"/>
      <c r="H546" s="50"/>
      <c r="I546" s="50"/>
    </row>
    <row r="547" customFormat="false" ht="15.75" hidden="false" customHeight="false" outlineLevel="0" collapsed="false">
      <c r="F547" s="50"/>
      <c r="G547" s="50"/>
      <c r="H547" s="50"/>
      <c r="I547" s="50"/>
    </row>
    <row r="548" customFormat="false" ht="15.75" hidden="false" customHeight="false" outlineLevel="0" collapsed="false">
      <c r="F548" s="50"/>
      <c r="G548" s="50"/>
      <c r="H548" s="50"/>
      <c r="I548" s="50"/>
    </row>
    <row r="549" customFormat="false" ht="15.75" hidden="false" customHeight="false" outlineLevel="0" collapsed="false">
      <c r="F549" s="50"/>
      <c r="G549" s="50"/>
      <c r="H549" s="50"/>
      <c r="I549" s="50"/>
    </row>
    <row r="550" customFormat="false" ht="15.75" hidden="false" customHeight="false" outlineLevel="0" collapsed="false">
      <c r="F550" s="50"/>
      <c r="G550" s="50"/>
      <c r="H550" s="50"/>
      <c r="I550" s="50"/>
    </row>
    <row r="551" customFormat="false" ht="15.75" hidden="false" customHeight="false" outlineLevel="0" collapsed="false">
      <c r="F551" s="50"/>
      <c r="G551" s="50"/>
      <c r="H551" s="50"/>
      <c r="I551" s="50"/>
    </row>
    <row r="552" customFormat="false" ht="15.75" hidden="false" customHeight="false" outlineLevel="0" collapsed="false">
      <c r="F552" s="50"/>
      <c r="G552" s="50"/>
      <c r="H552" s="50"/>
      <c r="I552" s="50"/>
    </row>
    <row r="553" customFormat="false" ht="15.75" hidden="false" customHeight="false" outlineLevel="0" collapsed="false">
      <c r="F553" s="50"/>
      <c r="G553" s="50"/>
      <c r="H553" s="50"/>
      <c r="I553" s="50"/>
    </row>
    <row r="554" customFormat="false" ht="15.75" hidden="false" customHeight="false" outlineLevel="0" collapsed="false">
      <c r="F554" s="50"/>
      <c r="G554" s="50"/>
      <c r="H554" s="50"/>
      <c r="I554" s="50"/>
    </row>
    <row r="555" customFormat="false" ht="15.75" hidden="false" customHeight="false" outlineLevel="0" collapsed="false">
      <c r="F555" s="50"/>
      <c r="G555" s="50"/>
      <c r="H555" s="50"/>
      <c r="I555" s="50"/>
    </row>
    <row r="556" customFormat="false" ht="15.75" hidden="false" customHeight="false" outlineLevel="0" collapsed="false">
      <c r="F556" s="50"/>
      <c r="G556" s="50"/>
      <c r="H556" s="50"/>
      <c r="I556" s="50"/>
    </row>
    <row r="557" customFormat="false" ht="15.75" hidden="false" customHeight="false" outlineLevel="0" collapsed="false">
      <c r="F557" s="50"/>
      <c r="G557" s="50"/>
      <c r="H557" s="50"/>
      <c r="I557" s="50"/>
    </row>
    <row r="558" customFormat="false" ht="15.75" hidden="false" customHeight="false" outlineLevel="0" collapsed="false">
      <c r="F558" s="50"/>
      <c r="G558" s="50"/>
      <c r="H558" s="50"/>
      <c r="I558" s="50"/>
    </row>
    <row r="559" customFormat="false" ht="15.75" hidden="false" customHeight="false" outlineLevel="0" collapsed="false">
      <c r="F559" s="50"/>
      <c r="G559" s="50"/>
      <c r="H559" s="50"/>
      <c r="I559" s="50"/>
    </row>
    <row r="560" customFormat="false" ht="15.75" hidden="false" customHeight="false" outlineLevel="0" collapsed="false">
      <c r="F560" s="50"/>
      <c r="G560" s="50"/>
      <c r="H560" s="50"/>
      <c r="I560" s="50"/>
    </row>
    <row r="561" customFormat="false" ht="15.75" hidden="false" customHeight="false" outlineLevel="0" collapsed="false">
      <c r="F561" s="50"/>
      <c r="G561" s="50"/>
      <c r="H561" s="50"/>
      <c r="I561" s="50"/>
    </row>
    <row r="562" customFormat="false" ht="15.75" hidden="false" customHeight="false" outlineLevel="0" collapsed="false">
      <c r="F562" s="50"/>
      <c r="G562" s="50"/>
      <c r="H562" s="50"/>
      <c r="I562" s="50"/>
    </row>
    <row r="563" customFormat="false" ht="15.75" hidden="false" customHeight="false" outlineLevel="0" collapsed="false">
      <c r="F563" s="50"/>
      <c r="G563" s="50"/>
      <c r="H563" s="50"/>
      <c r="I563" s="50"/>
    </row>
    <row r="564" customFormat="false" ht="15.75" hidden="false" customHeight="false" outlineLevel="0" collapsed="false">
      <c r="F564" s="50"/>
      <c r="G564" s="50"/>
      <c r="H564" s="50"/>
      <c r="I564" s="50"/>
    </row>
    <row r="565" customFormat="false" ht="15.75" hidden="false" customHeight="false" outlineLevel="0" collapsed="false">
      <c r="F565" s="50"/>
      <c r="G565" s="50"/>
      <c r="H565" s="50"/>
      <c r="I565" s="50"/>
    </row>
    <row r="566" customFormat="false" ht="15.75" hidden="false" customHeight="false" outlineLevel="0" collapsed="false">
      <c r="F566" s="50"/>
      <c r="G566" s="50"/>
      <c r="H566" s="50"/>
      <c r="I566" s="50"/>
    </row>
    <row r="567" customFormat="false" ht="15.75" hidden="false" customHeight="false" outlineLevel="0" collapsed="false">
      <c r="F567" s="50"/>
      <c r="G567" s="50"/>
      <c r="H567" s="50"/>
      <c r="I567" s="50"/>
    </row>
    <row r="568" customFormat="false" ht="15.75" hidden="false" customHeight="false" outlineLevel="0" collapsed="false">
      <c r="F568" s="50"/>
      <c r="G568" s="50"/>
      <c r="H568" s="50"/>
      <c r="I568" s="50"/>
    </row>
    <row r="569" customFormat="false" ht="15.75" hidden="false" customHeight="false" outlineLevel="0" collapsed="false">
      <c r="F569" s="50"/>
      <c r="G569" s="50"/>
      <c r="H569" s="50"/>
      <c r="I569" s="50"/>
    </row>
    <row r="570" customFormat="false" ht="15.75" hidden="false" customHeight="false" outlineLevel="0" collapsed="false">
      <c r="F570" s="50"/>
      <c r="G570" s="50"/>
      <c r="H570" s="50"/>
      <c r="I570" s="50"/>
    </row>
    <row r="571" customFormat="false" ht="15.75" hidden="false" customHeight="false" outlineLevel="0" collapsed="false">
      <c r="F571" s="50"/>
      <c r="G571" s="50"/>
      <c r="H571" s="50"/>
      <c r="I571" s="50"/>
    </row>
    <row r="572" customFormat="false" ht="15.75" hidden="false" customHeight="false" outlineLevel="0" collapsed="false">
      <c r="F572" s="50"/>
      <c r="G572" s="50"/>
      <c r="H572" s="50"/>
      <c r="I572" s="50"/>
    </row>
    <row r="573" customFormat="false" ht="15.75" hidden="false" customHeight="false" outlineLevel="0" collapsed="false">
      <c r="F573" s="50"/>
      <c r="G573" s="50"/>
      <c r="H573" s="50"/>
      <c r="I573" s="50"/>
    </row>
    <row r="574" customFormat="false" ht="15.75" hidden="false" customHeight="false" outlineLevel="0" collapsed="false">
      <c r="F574" s="50"/>
      <c r="G574" s="50"/>
      <c r="H574" s="50"/>
      <c r="I574" s="50"/>
    </row>
    <row r="575" customFormat="false" ht="15.75" hidden="false" customHeight="false" outlineLevel="0" collapsed="false">
      <c r="F575" s="50"/>
      <c r="G575" s="50"/>
      <c r="H575" s="50"/>
      <c r="I575" s="50"/>
    </row>
    <row r="576" customFormat="false" ht="15.75" hidden="false" customHeight="false" outlineLevel="0" collapsed="false">
      <c r="F576" s="50"/>
      <c r="G576" s="50"/>
      <c r="H576" s="50"/>
      <c r="I576" s="50"/>
    </row>
    <row r="577" customFormat="false" ht="15.75" hidden="false" customHeight="false" outlineLevel="0" collapsed="false">
      <c r="F577" s="50"/>
      <c r="G577" s="50"/>
      <c r="H577" s="50"/>
      <c r="I577" s="50"/>
    </row>
    <row r="578" customFormat="false" ht="15.75" hidden="false" customHeight="false" outlineLevel="0" collapsed="false">
      <c r="F578" s="50"/>
      <c r="G578" s="50"/>
      <c r="H578" s="50"/>
      <c r="I578" s="50"/>
    </row>
    <row r="579" customFormat="false" ht="15.75" hidden="false" customHeight="false" outlineLevel="0" collapsed="false">
      <c r="F579" s="50"/>
      <c r="G579" s="50"/>
      <c r="H579" s="50"/>
      <c r="I579" s="50"/>
    </row>
    <row r="580" customFormat="false" ht="15.75" hidden="false" customHeight="false" outlineLevel="0" collapsed="false">
      <c r="F580" s="50"/>
      <c r="G580" s="50"/>
      <c r="H580" s="50"/>
      <c r="I580" s="50"/>
    </row>
    <row r="581" customFormat="false" ht="15.75" hidden="false" customHeight="false" outlineLevel="0" collapsed="false">
      <c r="F581" s="50"/>
      <c r="G581" s="50"/>
      <c r="H581" s="50"/>
      <c r="I581" s="50"/>
    </row>
    <row r="582" customFormat="false" ht="15.75" hidden="false" customHeight="false" outlineLevel="0" collapsed="false">
      <c r="F582" s="50"/>
      <c r="G582" s="50"/>
      <c r="H582" s="50"/>
      <c r="I582" s="50"/>
    </row>
    <row r="583" customFormat="false" ht="15.75" hidden="false" customHeight="false" outlineLevel="0" collapsed="false">
      <c r="F583" s="50"/>
      <c r="G583" s="50"/>
      <c r="H583" s="50"/>
      <c r="I583" s="50"/>
    </row>
    <row r="584" customFormat="false" ht="15.75" hidden="false" customHeight="false" outlineLevel="0" collapsed="false">
      <c r="F584" s="50"/>
      <c r="G584" s="50"/>
      <c r="H584" s="50"/>
      <c r="I584" s="50"/>
    </row>
    <row r="585" customFormat="false" ht="15.75" hidden="false" customHeight="false" outlineLevel="0" collapsed="false">
      <c r="F585" s="50"/>
      <c r="G585" s="50"/>
      <c r="H585" s="50"/>
      <c r="I585" s="50"/>
    </row>
    <row r="586" customFormat="false" ht="15.75" hidden="false" customHeight="false" outlineLevel="0" collapsed="false">
      <c r="F586" s="50"/>
      <c r="G586" s="50"/>
      <c r="H586" s="50"/>
      <c r="I586" s="50"/>
    </row>
    <row r="587" customFormat="false" ht="15.75" hidden="false" customHeight="false" outlineLevel="0" collapsed="false">
      <c r="F587" s="50"/>
      <c r="G587" s="50"/>
      <c r="H587" s="50"/>
      <c r="I587" s="50"/>
    </row>
    <row r="588" customFormat="false" ht="15.75" hidden="false" customHeight="false" outlineLevel="0" collapsed="false">
      <c r="F588" s="50"/>
      <c r="G588" s="50"/>
      <c r="H588" s="50"/>
      <c r="I588" s="50"/>
    </row>
    <row r="589" customFormat="false" ht="15.75" hidden="false" customHeight="false" outlineLevel="0" collapsed="false">
      <c r="F589" s="50"/>
      <c r="G589" s="50"/>
      <c r="H589" s="50"/>
      <c r="I589" s="50"/>
    </row>
    <row r="590" customFormat="false" ht="15.75" hidden="false" customHeight="false" outlineLevel="0" collapsed="false">
      <c r="F590" s="50"/>
      <c r="G590" s="50"/>
      <c r="H590" s="50"/>
      <c r="I590" s="50"/>
    </row>
    <row r="591" customFormat="false" ht="15.75" hidden="false" customHeight="false" outlineLevel="0" collapsed="false">
      <c r="F591" s="50"/>
      <c r="G591" s="50"/>
      <c r="H591" s="50"/>
      <c r="I591" s="50"/>
    </row>
    <row r="592" customFormat="false" ht="15.75" hidden="false" customHeight="false" outlineLevel="0" collapsed="false">
      <c r="F592" s="50"/>
      <c r="G592" s="50"/>
      <c r="H592" s="50"/>
      <c r="I592" s="50"/>
    </row>
    <row r="593" customFormat="false" ht="15.75" hidden="false" customHeight="false" outlineLevel="0" collapsed="false">
      <c r="F593" s="50"/>
      <c r="G593" s="50"/>
      <c r="H593" s="50"/>
      <c r="I593" s="50"/>
    </row>
    <row r="594" customFormat="false" ht="15.75" hidden="false" customHeight="false" outlineLevel="0" collapsed="false">
      <c r="F594" s="50"/>
      <c r="G594" s="50"/>
      <c r="H594" s="50"/>
      <c r="I594" s="50"/>
    </row>
    <row r="595" customFormat="false" ht="15.75" hidden="false" customHeight="false" outlineLevel="0" collapsed="false">
      <c r="F595" s="50"/>
      <c r="G595" s="50"/>
      <c r="H595" s="50"/>
      <c r="I595" s="50"/>
    </row>
    <row r="596" customFormat="false" ht="15.75" hidden="false" customHeight="false" outlineLevel="0" collapsed="false">
      <c r="F596" s="50"/>
      <c r="G596" s="50"/>
      <c r="H596" s="50"/>
      <c r="I596" s="50"/>
    </row>
    <row r="597" customFormat="false" ht="15.75" hidden="false" customHeight="false" outlineLevel="0" collapsed="false">
      <c r="F597" s="50"/>
      <c r="G597" s="50"/>
      <c r="H597" s="50"/>
      <c r="I597" s="50"/>
    </row>
    <row r="598" customFormat="false" ht="15.75" hidden="false" customHeight="false" outlineLevel="0" collapsed="false">
      <c r="F598" s="50"/>
      <c r="G598" s="50"/>
      <c r="H598" s="50"/>
      <c r="I598" s="50"/>
    </row>
    <row r="599" customFormat="false" ht="15.75" hidden="false" customHeight="false" outlineLevel="0" collapsed="false">
      <c r="F599" s="50"/>
      <c r="G599" s="50"/>
      <c r="H599" s="50"/>
      <c r="I599" s="50"/>
    </row>
    <row r="600" customFormat="false" ht="15.75" hidden="false" customHeight="false" outlineLevel="0" collapsed="false">
      <c r="F600" s="50"/>
      <c r="G600" s="50"/>
      <c r="H600" s="50"/>
      <c r="I600" s="50"/>
    </row>
    <row r="601" customFormat="false" ht="15.75" hidden="false" customHeight="false" outlineLevel="0" collapsed="false">
      <c r="F601" s="50"/>
      <c r="G601" s="50"/>
      <c r="H601" s="50"/>
      <c r="I601" s="50"/>
    </row>
    <row r="602" customFormat="false" ht="15.75" hidden="false" customHeight="false" outlineLevel="0" collapsed="false">
      <c r="F602" s="50"/>
      <c r="G602" s="50"/>
      <c r="H602" s="50"/>
      <c r="I602" s="50"/>
    </row>
    <row r="603" customFormat="false" ht="15.75" hidden="false" customHeight="false" outlineLevel="0" collapsed="false">
      <c r="F603" s="50"/>
      <c r="G603" s="50"/>
      <c r="H603" s="50"/>
      <c r="I603" s="50"/>
    </row>
    <row r="604" customFormat="false" ht="15.75" hidden="false" customHeight="false" outlineLevel="0" collapsed="false">
      <c r="F604" s="50"/>
      <c r="G604" s="50"/>
      <c r="H604" s="50"/>
      <c r="I604" s="50"/>
    </row>
    <row r="605" customFormat="false" ht="15.75" hidden="false" customHeight="false" outlineLevel="0" collapsed="false">
      <c r="F605" s="50"/>
      <c r="G605" s="50"/>
      <c r="H605" s="50"/>
      <c r="I605" s="50"/>
    </row>
    <row r="606" customFormat="false" ht="15.75" hidden="false" customHeight="false" outlineLevel="0" collapsed="false">
      <c r="F606" s="50"/>
      <c r="G606" s="50"/>
      <c r="H606" s="50"/>
      <c r="I606" s="50"/>
    </row>
    <row r="607" customFormat="false" ht="15.75" hidden="false" customHeight="false" outlineLevel="0" collapsed="false">
      <c r="F607" s="50"/>
      <c r="G607" s="50"/>
      <c r="H607" s="50"/>
      <c r="I607" s="50"/>
    </row>
    <row r="608" customFormat="false" ht="15.75" hidden="false" customHeight="false" outlineLevel="0" collapsed="false">
      <c r="F608" s="50"/>
      <c r="G608" s="50"/>
      <c r="H608" s="50"/>
      <c r="I608" s="50"/>
    </row>
    <row r="609" customFormat="false" ht="15.75" hidden="false" customHeight="false" outlineLevel="0" collapsed="false">
      <c r="F609" s="50"/>
      <c r="G609" s="50"/>
      <c r="H609" s="50"/>
      <c r="I609" s="50"/>
    </row>
    <row r="610" customFormat="false" ht="15.75" hidden="false" customHeight="false" outlineLevel="0" collapsed="false">
      <c r="F610" s="50"/>
      <c r="G610" s="50"/>
      <c r="H610" s="50"/>
      <c r="I610" s="50"/>
    </row>
    <row r="611" customFormat="false" ht="15.75" hidden="false" customHeight="false" outlineLevel="0" collapsed="false">
      <c r="F611" s="50"/>
      <c r="G611" s="50"/>
      <c r="H611" s="50"/>
      <c r="I611" s="50"/>
    </row>
    <row r="612" customFormat="false" ht="15.75" hidden="false" customHeight="false" outlineLevel="0" collapsed="false">
      <c r="F612" s="50"/>
      <c r="G612" s="50"/>
      <c r="H612" s="50"/>
      <c r="I612" s="50"/>
    </row>
    <row r="613" customFormat="false" ht="15.75" hidden="false" customHeight="false" outlineLevel="0" collapsed="false">
      <c r="F613" s="50"/>
      <c r="G613" s="50"/>
      <c r="H613" s="50"/>
      <c r="I613" s="50"/>
    </row>
    <row r="614" customFormat="false" ht="15.75" hidden="false" customHeight="false" outlineLevel="0" collapsed="false">
      <c r="F614" s="50"/>
      <c r="G614" s="50"/>
      <c r="H614" s="50"/>
      <c r="I614" s="50"/>
    </row>
    <row r="615" customFormat="false" ht="15.75" hidden="false" customHeight="false" outlineLevel="0" collapsed="false">
      <c r="F615" s="50"/>
      <c r="G615" s="50"/>
      <c r="H615" s="50"/>
      <c r="I615" s="50"/>
    </row>
    <row r="616" customFormat="false" ht="15.75" hidden="false" customHeight="false" outlineLevel="0" collapsed="false">
      <c r="F616" s="50"/>
      <c r="G616" s="50"/>
      <c r="H616" s="50"/>
      <c r="I616" s="50"/>
    </row>
    <row r="617" customFormat="false" ht="15.75" hidden="false" customHeight="false" outlineLevel="0" collapsed="false">
      <c r="F617" s="50"/>
      <c r="G617" s="50"/>
      <c r="H617" s="50"/>
      <c r="I617" s="50"/>
    </row>
    <row r="618" customFormat="false" ht="15.75" hidden="false" customHeight="false" outlineLevel="0" collapsed="false">
      <c r="F618" s="50"/>
      <c r="G618" s="50"/>
      <c r="H618" s="50"/>
      <c r="I618" s="50"/>
    </row>
    <row r="619" customFormat="false" ht="15.75" hidden="false" customHeight="false" outlineLevel="0" collapsed="false">
      <c r="F619" s="50"/>
      <c r="G619" s="50"/>
      <c r="H619" s="50"/>
      <c r="I619" s="50"/>
    </row>
    <row r="620" customFormat="false" ht="15.75" hidden="false" customHeight="false" outlineLevel="0" collapsed="false">
      <c r="F620" s="50"/>
      <c r="G620" s="50"/>
      <c r="H620" s="50"/>
      <c r="I620" s="50"/>
    </row>
    <row r="621" customFormat="false" ht="15.75" hidden="false" customHeight="false" outlineLevel="0" collapsed="false">
      <c r="F621" s="50"/>
      <c r="G621" s="50"/>
      <c r="H621" s="50"/>
      <c r="I621" s="50"/>
    </row>
    <row r="622" customFormat="false" ht="15.75" hidden="false" customHeight="false" outlineLevel="0" collapsed="false">
      <c r="F622" s="50"/>
      <c r="G622" s="50"/>
      <c r="H622" s="50"/>
      <c r="I622" s="50"/>
    </row>
    <row r="623" customFormat="false" ht="15.75" hidden="false" customHeight="false" outlineLevel="0" collapsed="false">
      <c r="F623" s="50"/>
      <c r="G623" s="50"/>
      <c r="H623" s="50"/>
      <c r="I623" s="50"/>
    </row>
    <row r="624" customFormat="false" ht="15.75" hidden="false" customHeight="false" outlineLevel="0" collapsed="false">
      <c r="F624" s="50"/>
      <c r="G624" s="50"/>
      <c r="H624" s="50"/>
      <c r="I624" s="50"/>
    </row>
    <row r="625" customFormat="false" ht="15.75" hidden="false" customHeight="false" outlineLevel="0" collapsed="false">
      <c r="F625" s="50"/>
      <c r="G625" s="50"/>
      <c r="H625" s="50"/>
      <c r="I625" s="50"/>
    </row>
    <row r="626" customFormat="false" ht="15.75" hidden="false" customHeight="false" outlineLevel="0" collapsed="false">
      <c r="F626" s="50"/>
      <c r="G626" s="50"/>
      <c r="H626" s="50"/>
      <c r="I626" s="50"/>
    </row>
    <row r="627" customFormat="false" ht="15.75" hidden="false" customHeight="false" outlineLevel="0" collapsed="false">
      <c r="F627" s="50"/>
      <c r="G627" s="50"/>
      <c r="H627" s="50"/>
      <c r="I627" s="50"/>
    </row>
    <row r="628" customFormat="false" ht="15.75" hidden="false" customHeight="false" outlineLevel="0" collapsed="false">
      <c r="F628" s="50"/>
      <c r="G628" s="50"/>
      <c r="H628" s="50"/>
      <c r="I628" s="50"/>
    </row>
    <row r="629" customFormat="false" ht="15.75" hidden="false" customHeight="false" outlineLevel="0" collapsed="false">
      <c r="F629" s="50"/>
      <c r="G629" s="50"/>
      <c r="H629" s="50"/>
      <c r="I629" s="50"/>
    </row>
    <row r="630" customFormat="false" ht="15.75" hidden="false" customHeight="false" outlineLevel="0" collapsed="false">
      <c r="F630" s="50"/>
      <c r="G630" s="50"/>
      <c r="H630" s="50"/>
      <c r="I630" s="50"/>
    </row>
    <row r="631" customFormat="false" ht="15.75" hidden="false" customHeight="false" outlineLevel="0" collapsed="false">
      <c r="F631" s="50"/>
      <c r="G631" s="50"/>
      <c r="H631" s="50"/>
      <c r="I631" s="50"/>
    </row>
    <row r="632" customFormat="false" ht="15.75" hidden="false" customHeight="false" outlineLevel="0" collapsed="false">
      <c r="F632" s="50"/>
      <c r="G632" s="50"/>
      <c r="H632" s="50"/>
      <c r="I632" s="50"/>
    </row>
    <row r="633" customFormat="false" ht="15.75" hidden="false" customHeight="false" outlineLevel="0" collapsed="false">
      <c r="F633" s="50"/>
      <c r="G633" s="50"/>
      <c r="H633" s="50"/>
      <c r="I633" s="50"/>
    </row>
    <row r="634" customFormat="false" ht="15.75" hidden="false" customHeight="false" outlineLevel="0" collapsed="false">
      <c r="F634" s="50"/>
      <c r="G634" s="50"/>
      <c r="H634" s="50"/>
      <c r="I634" s="50"/>
    </row>
    <row r="635" customFormat="false" ht="15.75" hidden="false" customHeight="false" outlineLevel="0" collapsed="false">
      <c r="F635" s="50"/>
      <c r="G635" s="50"/>
      <c r="H635" s="50"/>
      <c r="I635" s="50"/>
    </row>
    <row r="636" customFormat="false" ht="15.75" hidden="false" customHeight="false" outlineLevel="0" collapsed="false">
      <c r="F636" s="50"/>
      <c r="G636" s="50"/>
      <c r="H636" s="50"/>
      <c r="I636" s="50"/>
    </row>
    <row r="637" customFormat="false" ht="15.75" hidden="false" customHeight="false" outlineLevel="0" collapsed="false">
      <c r="F637" s="50"/>
      <c r="G637" s="50"/>
      <c r="H637" s="50"/>
      <c r="I637" s="50"/>
    </row>
    <row r="638" customFormat="false" ht="15.75" hidden="false" customHeight="false" outlineLevel="0" collapsed="false">
      <c r="F638" s="50"/>
      <c r="G638" s="50"/>
      <c r="H638" s="50"/>
      <c r="I638" s="50"/>
    </row>
    <row r="639" customFormat="false" ht="15.75" hidden="false" customHeight="false" outlineLevel="0" collapsed="false">
      <c r="F639" s="50"/>
      <c r="G639" s="50"/>
      <c r="H639" s="50"/>
      <c r="I639" s="50"/>
    </row>
    <row r="640" customFormat="false" ht="15.75" hidden="false" customHeight="false" outlineLevel="0" collapsed="false">
      <c r="F640" s="50"/>
      <c r="G640" s="50"/>
      <c r="H640" s="50"/>
      <c r="I640" s="50"/>
    </row>
    <row r="641" customFormat="false" ht="15.75" hidden="false" customHeight="false" outlineLevel="0" collapsed="false">
      <c r="F641" s="50"/>
      <c r="G641" s="50"/>
      <c r="H641" s="50"/>
      <c r="I641" s="50"/>
    </row>
    <row r="642" customFormat="false" ht="15.75" hidden="false" customHeight="false" outlineLevel="0" collapsed="false">
      <c r="F642" s="50"/>
      <c r="G642" s="50"/>
      <c r="H642" s="50"/>
      <c r="I642" s="50"/>
    </row>
    <row r="643" customFormat="false" ht="15.75" hidden="false" customHeight="false" outlineLevel="0" collapsed="false">
      <c r="F643" s="50"/>
      <c r="G643" s="50"/>
      <c r="H643" s="50"/>
      <c r="I643" s="50"/>
    </row>
    <row r="644" customFormat="false" ht="15.75" hidden="false" customHeight="false" outlineLevel="0" collapsed="false">
      <c r="F644" s="50"/>
      <c r="G644" s="50"/>
      <c r="H644" s="50"/>
      <c r="I644" s="50"/>
    </row>
    <row r="645" customFormat="false" ht="15.75" hidden="false" customHeight="false" outlineLevel="0" collapsed="false">
      <c r="F645" s="50"/>
      <c r="G645" s="50"/>
      <c r="H645" s="50"/>
      <c r="I645" s="50"/>
    </row>
    <row r="646" customFormat="false" ht="15.75" hidden="false" customHeight="false" outlineLevel="0" collapsed="false">
      <c r="F646" s="50"/>
      <c r="G646" s="50"/>
      <c r="H646" s="50"/>
      <c r="I646" s="50"/>
    </row>
    <row r="647" customFormat="false" ht="15.75" hidden="false" customHeight="false" outlineLevel="0" collapsed="false">
      <c r="F647" s="50"/>
      <c r="G647" s="50"/>
      <c r="H647" s="50"/>
      <c r="I647" s="50"/>
    </row>
    <row r="648" customFormat="false" ht="15.75" hidden="false" customHeight="false" outlineLevel="0" collapsed="false">
      <c r="F648" s="50"/>
      <c r="G648" s="50"/>
      <c r="H648" s="50"/>
      <c r="I648" s="50"/>
    </row>
    <row r="649" customFormat="false" ht="15.75" hidden="false" customHeight="false" outlineLevel="0" collapsed="false">
      <c r="F649" s="50"/>
      <c r="G649" s="50"/>
      <c r="H649" s="50"/>
      <c r="I649" s="50"/>
    </row>
    <row r="650" customFormat="false" ht="15.75" hidden="false" customHeight="false" outlineLevel="0" collapsed="false">
      <c r="F650" s="50"/>
      <c r="G650" s="50"/>
      <c r="H650" s="50"/>
      <c r="I650" s="50"/>
    </row>
    <row r="651" customFormat="false" ht="15.75" hidden="false" customHeight="false" outlineLevel="0" collapsed="false">
      <c r="F651" s="50"/>
      <c r="G651" s="50"/>
      <c r="H651" s="50"/>
      <c r="I651" s="50"/>
    </row>
    <row r="652" customFormat="false" ht="15.75" hidden="false" customHeight="false" outlineLevel="0" collapsed="false">
      <c r="F652" s="50"/>
      <c r="G652" s="50"/>
      <c r="H652" s="50"/>
      <c r="I652" s="50"/>
    </row>
    <row r="653" customFormat="false" ht="15.75" hidden="false" customHeight="false" outlineLevel="0" collapsed="false">
      <c r="F653" s="50"/>
      <c r="G653" s="50"/>
      <c r="H653" s="50"/>
      <c r="I653" s="50"/>
    </row>
    <row r="654" customFormat="false" ht="15.75" hidden="false" customHeight="false" outlineLevel="0" collapsed="false">
      <c r="F654" s="50"/>
      <c r="G654" s="50"/>
      <c r="H654" s="50"/>
      <c r="I654" s="50"/>
    </row>
    <row r="655" customFormat="false" ht="15.75" hidden="false" customHeight="false" outlineLevel="0" collapsed="false">
      <c r="F655" s="50"/>
      <c r="G655" s="50"/>
      <c r="H655" s="50"/>
      <c r="I655" s="50"/>
    </row>
    <row r="656" customFormat="false" ht="15.75" hidden="false" customHeight="false" outlineLevel="0" collapsed="false">
      <c r="F656" s="50"/>
      <c r="G656" s="50"/>
      <c r="H656" s="50"/>
      <c r="I656" s="50"/>
    </row>
    <row r="657" customFormat="false" ht="15.75" hidden="false" customHeight="false" outlineLevel="0" collapsed="false">
      <c r="F657" s="50"/>
      <c r="G657" s="50"/>
      <c r="H657" s="50"/>
      <c r="I657" s="50"/>
    </row>
    <row r="658" customFormat="false" ht="15.75" hidden="false" customHeight="false" outlineLevel="0" collapsed="false">
      <c r="F658" s="50"/>
      <c r="G658" s="50"/>
      <c r="H658" s="50"/>
      <c r="I658" s="50"/>
    </row>
    <row r="659" customFormat="false" ht="15.75" hidden="false" customHeight="false" outlineLevel="0" collapsed="false">
      <c r="F659" s="50"/>
      <c r="G659" s="50"/>
      <c r="H659" s="50"/>
      <c r="I659" s="50"/>
    </row>
    <row r="660" customFormat="false" ht="15.75" hidden="false" customHeight="false" outlineLevel="0" collapsed="false">
      <c r="F660" s="50"/>
      <c r="G660" s="50"/>
      <c r="H660" s="50"/>
      <c r="I660" s="50"/>
    </row>
    <row r="661" customFormat="false" ht="15.75" hidden="false" customHeight="false" outlineLevel="0" collapsed="false">
      <c r="F661" s="50"/>
      <c r="G661" s="50"/>
      <c r="H661" s="50"/>
      <c r="I661" s="50"/>
    </row>
    <row r="662" customFormat="false" ht="15.75" hidden="false" customHeight="false" outlineLevel="0" collapsed="false">
      <c r="F662" s="50"/>
      <c r="G662" s="50"/>
      <c r="H662" s="50"/>
      <c r="I662" s="50"/>
    </row>
    <row r="663" customFormat="false" ht="15.75" hidden="false" customHeight="false" outlineLevel="0" collapsed="false">
      <c r="F663" s="50"/>
      <c r="G663" s="50"/>
      <c r="H663" s="50"/>
      <c r="I663" s="50"/>
    </row>
    <row r="664" customFormat="false" ht="15.75" hidden="false" customHeight="false" outlineLevel="0" collapsed="false">
      <c r="F664" s="50"/>
      <c r="G664" s="50"/>
      <c r="H664" s="50"/>
      <c r="I664" s="50"/>
    </row>
    <row r="665" customFormat="false" ht="15.75" hidden="false" customHeight="false" outlineLevel="0" collapsed="false">
      <c r="F665" s="50"/>
      <c r="G665" s="50"/>
      <c r="H665" s="50"/>
      <c r="I665" s="50"/>
    </row>
    <row r="666" customFormat="false" ht="15.75" hidden="false" customHeight="false" outlineLevel="0" collapsed="false">
      <c r="F666" s="50"/>
      <c r="G666" s="50"/>
      <c r="H666" s="50"/>
      <c r="I666" s="50"/>
    </row>
    <row r="667" customFormat="false" ht="15.75" hidden="false" customHeight="false" outlineLevel="0" collapsed="false">
      <c r="F667" s="50"/>
      <c r="G667" s="50"/>
      <c r="H667" s="50"/>
      <c r="I667" s="50"/>
    </row>
    <row r="668" customFormat="false" ht="15.75" hidden="false" customHeight="false" outlineLevel="0" collapsed="false">
      <c r="F668" s="50"/>
      <c r="G668" s="50"/>
      <c r="H668" s="50"/>
      <c r="I668" s="50"/>
    </row>
    <row r="669" customFormat="false" ht="15.75" hidden="false" customHeight="false" outlineLevel="0" collapsed="false">
      <c r="F669" s="50"/>
      <c r="G669" s="50"/>
      <c r="H669" s="50"/>
      <c r="I669" s="50"/>
    </row>
    <row r="670" customFormat="false" ht="15.75" hidden="false" customHeight="false" outlineLevel="0" collapsed="false">
      <c r="F670" s="50"/>
      <c r="G670" s="50"/>
      <c r="H670" s="50"/>
      <c r="I670" s="50"/>
    </row>
    <row r="671" customFormat="false" ht="15.75" hidden="false" customHeight="false" outlineLevel="0" collapsed="false">
      <c r="F671" s="50"/>
      <c r="G671" s="50"/>
      <c r="H671" s="50"/>
      <c r="I671" s="50"/>
    </row>
    <row r="672" customFormat="false" ht="15.75" hidden="false" customHeight="false" outlineLevel="0" collapsed="false">
      <c r="F672" s="50"/>
      <c r="G672" s="50"/>
      <c r="H672" s="50"/>
      <c r="I672" s="50"/>
    </row>
    <row r="673" customFormat="false" ht="15.75" hidden="false" customHeight="false" outlineLevel="0" collapsed="false">
      <c r="F673" s="50"/>
      <c r="G673" s="50"/>
      <c r="H673" s="50"/>
      <c r="I673" s="50"/>
    </row>
    <row r="674" customFormat="false" ht="15.75" hidden="false" customHeight="false" outlineLevel="0" collapsed="false">
      <c r="F674" s="50"/>
      <c r="G674" s="50"/>
      <c r="H674" s="50"/>
      <c r="I674" s="50"/>
    </row>
    <row r="675" customFormat="false" ht="15.75" hidden="false" customHeight="false" outlineLevel="0" collapsed="false">
      <c r="F675" s="50"/>
      <c r="G675" s="50"/>
      <c r="H675" s="50"/>
      <c r="I675" s="50"/>
    </row>
    <row r="676" customFormat="false" ht="15.75" hidden="false" customHeight="false" outlineLevel="0" collapsed="false">
      <c r="F676" s="50"/>
      <c r="G676" s="50"/>
      <c r="H676" s="50"/>
      <c r="I676" s="50"/>
    </row>
    <row r="677" customFormat="false" ht="15.75" hidden="false" customHeight="false" outlineLevel="0" collapsed="false">
      <c r="F677" s="50"/>
      <c r="G677" s="50"/>
      <c r="H677" s="50"/>
      <c r="I677" s="50"/>
    </row>
    <row r="678" customFormat="false" ht="15.75" hidden="false" customHeight="false" outlineLevel="0" collapsed="false">
      <c r="F678" s="50"/>
      <c r="G678" s="50"/>
      <c r="H678" s="50"/>
      <c r="I678" s="50"/>
    </row>
    <row r="679" customFormat="false" ht="15.75" hidden="false" customHeight="false" outlineLevel="0" collapsed="false">
      <c r="F679" s="50"/>
      <c r="G679" s="50"/>
      <c r="H679" s="50"/>
      <c r="I679" s="50"/>
    </row>
    <row r="680" customFormat="false" ht="15.75" hidden="false" customHeight="false" outlineLevel="0" collapsed="false">
      <c r="F680" s="50"/>
      <c r="G680" s="50"/>
      <c r="H680" s="50"/>
      <c r="I680" s="50"/>
    </row>
    <row r="681" customFormat="false" ht="15.75" hidden="false" customHeight="false" outlineLevel="0" collapsed="false">
      <c r="F681" s="50"/>
      <c r="G681" s="50"/>
      <c r="H681" s="50"/>
      <c r="I681" s="50"/>
    </row>
    <row r="682" customFormat="false" ht="15.75" hidden="false" customHeight="false" outlineLevel="0" collapsed="false">
      <c r="F682" s="50"/>
      <c r="G682" s="50"/>
      <c r="H682" s="50"/>
      <c r="I682" s="50"/>
    </row>
    <row r="683" customFormat="false" ht="15.75" hidden="false" customHeight="false" outlineLevel="0" collapsed="false">
      <c r="F683" s="50"/>
      <c r="G683" s="50"/>
      <c r="H683" s="50"/>
      <c r="I683" s="50"/>
    </row>
    <row r="684" customFormat="false" ht="15.75" hidden="false" customHeight="false" outlineLevel="0" collapsed="false">
      <c r="F684" s="50"/>
      <c r="G684" s="50"/>
      <c r="H684" s="50"/>
      <c r="I684" s="50"/>
    </row>
    <row r="685" customFormat="false" ht="15.75" hidden="false" customHeight="false" outlineLevel="0" collapsed="false">
      <c r="F685" s="50"/>
      <c r="G685" s="50"/>
      <c r="H685" s="50"/>
      <c r="I685" s="50"/>
    </row>
    <row r="686" customFormat="false" ht="15.75" hidden="false" customHeight="false" outlineLevel="0" collapsed="false">
      <c r="F686" s="50"/>
      <c r="G686" s="50"/>
      <c r="H686" s="50"/>
      <c r="I686" s="50"/>
    </row>
    <row r="687" customFormat="false" ht="15.75" hidden="false" customHeight="false" outlineLevel="0" collapsed="false">
      <c r="F687" s="50"/>
      <c r="G687" s="50"/>
      <c r="H687" s="50"/>
      <c r="I687" s="50"/>
    </row>
    <row r="688" customFormat="false" ht="15.75" hidden="false" customHeight="false" outlineLevel="0" collapsed="false">
      <c r="F688" s="50"/>
      <c r="G688" s="50"/>
      <c r="H688" s="50"/>
      <c r="I688" s="50"/>
    </row>
    <row r="689" customFormat="false" ht="15.75" hidden="false" customHeight="false" outlineLevel="0" collapsed="false">
      <c r="F689" s="50"/>
      <c r="G689" s="50"/>
      <c r="H689" s="50"/>
      <c r="I689" s="50"/>
    </row>
    <row r="690" customFormat="false" ht="15.75" hidden="false" customHeight="false" outlineLevel="0" collapsed="false">
      <c r="F690" s="50"/>
      <c r="G690" s="50"/>
      <c r="H690" s="50"/>
      <c r="I690" s="50"/>
    </row>
    <row r="691" customFormat="false" ht="15.75" hidden="false" customHeight="false" outlineLevel="0" collapsed="false">
      <c r="F691" s="50"/>
      <c r="G691" s="50"/>
      <c r="H691" s="50"/>
      <c r="I691" s="50"/>
    </row>
    <row r="692" customFormat="false" ht="15.75" hidden="false" customHeight="false" outlineLevel="0" collapsed="false">
      <c r="F692" s="50"/>
      <c r="G692" s="50"/>
      <c r="H692" s="50"/>
      <c r="I692" s="50"/>
    </row>
    <row r="693" customFormat="false" ht="15.75" hidden="false" customHeight="false" outlineLevel="0" collapsed="false">
      <c r="F693" s="50"/>
      <c r="G693" s="50"/>
      <c r="H693" s="50"/>
      <c r="I693" s="50"/>
    </row>
    <row r="694" customFormat="false" ht="15.75" hidden="false" customHeight="false" outlineLevel="0" collapsed="false">
      <c r="F694" s="50"/>
      <c r="G694" s="50"/>
      <c r="H694" s="50"/>
      <c r="I694" s="50"/>
    </row>
    <row r="695" customFormat="false" ht="15.75" hidden="false" customHeight="false" outlineLevel="0" collapsed="false">
      <c r="F695" s="50"/>
      <c r="G695" s="50"/>
      <c r="H695" s="50"/>
      <c r="I695" s="50"/>
    </row>
    <row r="696" customFormat="false" ht="15.75" hidden="false" customHeight="false" outlineLevel="0" collapsed="false">
      <c r="F696" s="50"/>
      <c r="G696" s="50"/>
      <c r="H696" s="50"/>
      <c r="I696" s="50"/>
    </row>
    <row r="697" customFormat="false" ht="15.75" hidden="false" customHeight="false" outlineLevel="0" collapsed="false">
      <c r="F697" s="50"/>
      <c r="G697" s="50"/>
      <c r="H697" s="50"/>
      <c r="I697" s="50"/>
    </row>
    <row r="698" customFormat="false" ht="15.75" hidden="false" customHeight="false" outlineLevel="0" collapsed="false">
      <c r="F698" s="50"/>
      <c r="G698" s="50"/>
      <c r="H698" s="50"/>
      <c r="I698" s="50"/>
    </row>
    <row r="699" customFormat="false" ht="15.75" hidden="false" customHeight="false" outlineLevel="0" collapsed="false">
      <c r="F699" s="50"/>
      <c r="G699" s="50"/>
      <c r="H699" s="50"/>
      <c r="I699" s="50"/>
    </row>
    <row r="700" customFormat="false" ht="15.75" hidden="false" customHeight="false" outlineLevel="0" collapsed="false">
      <c r="F700" s="50"/>
      <c r="G700" s="50"/>
      <c r="H700" s="50"/>
      <c r="I700" s="50"/>
    </row>
    <row r="701" customFormat="false" ht="15.75" hidden="false" customHeight="false" outlineLevel="0" collapsed="false">
      <c r="F701" s="50"/>
      <c r="G701" s="50"/>
      <c r="H701" s="50"/>
      <c r="I701" s="50"/>
    </row>
    <row r="702" customFormat="false" ht="15.75" hidden="false" customHeight="false" outlineLevel="0" collapsed="false">
      <c r="F702" s="50"/>
      <c r="G702" s="50"/>
      <c r="H702" s="50"/>
      <c r="I702" s="50"/>
    </row>
    <row r="703" customFormat="false" ht="15.75" hidden="false" customHeight="false" outlineLevel="0" collapsed="false">
      <c r="F703" s="50"/>
      <c r="G703" s="50"/>
      <c r="H703" s="50"/>
      <c r="I703" s="50"/>
    </row>
    <row r="704" customFormat="false" ht="15.75" hidden="false" customHeight="false" outlineLevel="0" collapsed="false">
      <c r="F704" s="50"/>
      <c r="G704" s="50"/>
      <c r="H704" s="50"/>
      <c r="I704" s="50"/>
    </row>
    <row r="705" customFormat="false" ht="15.75" hidden="false" customHeight="false" outlineLevel="0" collapsed="false">
      <c r="F705" s="50"/>
      <c r="G705" s="50"/>
      <c r="H705" s="50"/>
      <c r="I705" s="50"/>
    </row>
    <row r="706" customFormat="false" ht="15.75" hidden="false" customHeight="false" outlineLevel="0" collapsed="false">
      <c r="F706" s="50"/>
      <c r="G706" s="50"/>
      <c r="H706" s="50"/>
      <c r="I706" s="50"/>
    </row>
    <row r="707" customFormat="false" ht="15.75" hidden="false" customHeight="false" outlineLevel="0" collapsed="false">
      <c r="F707" s="50"/>
      <c r="G707" s="50"/>
      <c r="H707" s="50"/>
      <c r="I707" s="50"/>
    </row>
    <row r="708" customFormat="false" ht="15.75" hidden="false" customHeight="false" outlineLevel="0" collapsed="false">
      <c r="F708" s="50"/>
      <c r="G708" s="50"/>
      <c r="H708" s="50"/>
      <c r="I708" s="50"/>
    </row>
    <row r="709" customFormat="false" ht="15.75" hidden="false" customHeight="false" outlineLevel="0" collapsed="false">
      <c r="F709" s="50"/>
      <c r="G709" s="50"/>
      <c r="H709" s="50"/>
      <c r="I709" s="50"/>
    </row>
    <row r="710" customFormat="false" ht="15.75" hidden="false" customHeight="false" outlineLevel="0" collapsed="false">
      <c r="F710" s="50"/>
      <c r="G710" s="50"/>
      <c r="H710" s="50"/>
      <c r="I710" s="50"/>
    </row>
    <row r="711" customFormat="false" ht="15.75" hidden="false" customHeight="false" outlineLevel="0" collapsed="false">
      <c r="F711" s="50"/>
      <c r="G711" s="50"/>
      <c r="H711" s="50"/>
      <c r="I711" s="50"/>
    </row>
    <row r="712" customFormat="false" ht="15.75" hidden="false" customHeight="false" outlineLevel="0" collapsed="false">
      <c r="F712" s="50"/>
      <c r="G712" s="50"/>
      <c r="H712" s="50"/>
      <c r="I712" s="50"/>
    </row>
    <row r="713" customFormat="false" ht="15.75" hidden="false" customHeight="false" outlineLevel="0" collapsed="false">
      <c r="F713" s="50"/>
      <c r="G713" s="50"/>
      <c r="H713" s="50"/>
      <c r="I713" s="50"/>
    </row>
    <row r="714" customFormat="false" ht="15.75" hidden="false" customHeight="false" outlineLevel="0" collapsed="false">
      <c r="F714" s="50"/>
      <c r="G714" s="50"/>
      <c r="H714" s="50"/>
      <c r="I714" s="50"/>
    </row>
    <row r="715" customFormat="false" ht="15.75" hidden="false" customHeight="false" outlineLevel="0" collapsed="false">
      <c r="F715" s="50"/>
      <c r="G715" s="50"/>
      <c r="H715" s="50"/>
      <c r="I715" s="50"/>
    </row>
    <row r="716" customFormat="false" ht="15.75" hidden="false" customHeight="false" outlineLevel="0" collapsed="false">
      <c r="F716" s="50"/>
      <c r="G716" s="50"/>
      <c r="H716" s="50"/>
      <c r="I716" s="50"/>
    </row>
    <row r="717" customFormat="false" ht="15.75" hidden="false" customHeight="false" outlineLevel="0" collapsed="false">
      <c r="F717" s="50"/>
      <c r="G717" s="50"/>
      <c r="H717" s="50"/>
      <c r="I717" s="50"/>
    </row>
    <row r="718" customFormat="false" ht="15.75" hidden="false" customHeight="false" outlineLevel="0" collapsed="false">
      <c r="F718" s="50"/>
      <c r="G718" s="50"/>
      <c r="H718" s="50"/>
      <c r="I718" s="50"/>
    </row>
    <row r="719" customFormat="false" ht="15.75" hidden="false" customHeight="false" outlineLevel="0" collapsed="false">
      <c r="F719" s="50"/>
      <c r="G719" s="50"/>
      <c r="H719" s="50"/>
      <c r="I719" s="50"/>
    </row>
    <row r="720" customFormat="false" ht="15.75" hidden="false" customHeight="false" outlineLevel="0" collapsed="false">
      <c r="F720" s="50"/>
      <c r="G720" s="50"/>
      <c r="H720" s="50"/>
      <c r="I720" s="50"/>
    </row>
    <row r="721" customFormat="false" ht="15.75" hidden="false" customHeight="false" outlineLevel="0" collapsed="false">
      <c r="F721" s="50"/>
      <c r="G721" s="50"/>
      <c r="H721" s="50"/>
      <c r="I721" s="50"/>
    </row>
    <row r="722" customFormat="false" ht="15.75" hidden="false" customHeight="false" outlineLevel="0" collapsed="false">
      <c r="F722" s="50"/>
      <c r="G722" s="50"/>
      <c r="H722" s="50"/>
      <c r="I722" s="50"/>
    </row>
    <row r="723" customFormat="false" ht="15.75" hidden="false" customHeight="false" outlineLevel="0" collapsed="false">
      <c r="F723" s="50"/>
      <c r="G723" s="50"/>
      <c r="H723" s="50"/>
      <c r="I723" s="50"/>
    </row>
    <row r="724" customFormat="false" ht="15.75" hidden="false" customHeight="false" outlineLevel="0" collapsed="false">
      <c r="F724" s="50"/>
      <c r="G724" s="50"/>
      <c r="H724" s="50"/>
      <c r="I724" s="50"/>
    </row>
    <row r="725" customFormat="false" ht="15.75" hidden="false" customHeight="false" outlineLevel="0" collapsed="false">
      <c r="F725" s="50"/>
      <c r="G725" s="50"/>
      <c r="H725" s="50"/>
      <c r="I725" s="50"/>
    </row>
    <row r="726" customFormat="false" ht="15.75" hidden="false" customHeight="false" outlineLevel="0" collapsed="false">
      <c r="F726" s="50"/>
      <c r="G726" s="50"/>
      <c r="H726" s="50"/>
      <c r="I726" s="50"/>
    </row>
    <row r="727" customFormat="false" ht="15.75" hidden="false" customHeight="false" outlineLevel="0" collapsed="false">
      <c r="F727" s="50"/>
      <c r="G727" s="50"/>
      <c r="H727" s="50"/>
      <c r="I727" s="50"/>
    </row>
    <row r="728" customFormat="false" ht="15.75" hidden="false" customHeight="false" outlineLevel="0" collapsed="false">
      <c r="F728" s="50"/>
      <c r="G728" s="50"/>
      <c r="H728" s="50"/>
      <c r="I728" s="50"/>
    </row>
    <row r="729" customFormat="false" ht="15.75" hidden="false" customHeight="false" outlineLevel="0" collapsed="false">
      <c r="F729" s="50"/>
      <c r="G729" s="50"/>
      <c r="H729" s="50"/>
      <c r="I729" s="50"/>
    </row>
    <row r="730" customFormat="false" ht="15.75" hidden="false" customHeight="false" outlineLevel="0" collapsed="false">
      <c r="F730" s="50"/>
      <c r="G730" s="50"/>
      <c r="H730" s="50"/>
      <c r="I730" s="50"/>
    </row>
    <row r="731" customFormat="false" ht="15.75" hidden="false" customHeight="false" outlineLevel="0" collapsed="false">
      <c r="F731" s="50"/>
      <c r="G731" s="50"/>
      <c r="H731" s="50"/>
      <c r="I731" s="50"/>
    </row>
    <row r="732" customFormat="false" ht="15.75" hidden="false" customHeight="false" outlineLevel="0" collapsed="false">
      <c r="F732" s="50"/>
      <c r="G732" s="50"/>
      <c r="H732" s="50"/>
      <c r="I732" s="50"/>
    </row>
    <row r="733" customFormat="false" ht="15.75" hidden="false" customHeight="false" outlineLevel="0" collapsed="false">
      <c r="F733" s="50"/>
      <c r="G733" s="50"/>
      <c r="H733" s="50"/>
      <c r="I733" s="50"/>
    </row>
    <row r="734" customFormat="false" ht="15.75" hidden="false" customHeight="false" outlineLevel="0" collapsed="false">
      <c r="F734" s="50"/>
      <c r="G734" s="50"/>
      <c r="H734" s="50"/>
      <c r="I734" s="50"/>
    </row>
    <row r="735" customFormat="false" ht="15.75" hidden="false" customHeight="false" outlineLevel="0" collapsed="false">
      <c r="F735" s="50"/>
      <c r="G735" s="50"/>
      <c r="H735" s="50"/>
      <c r="I735" s="50"/>
    </row>
    <row r="736" customFormat="false" ht="15.75" hidden="false" customHeight="false" outlineLevel="0" collapsed="false">
      <c r="F736" s="50"/>
      <c r="G736" s="50"/>
      <c r="H736" s="50"/>
      <c r="I736" s="50"/>
    </row>
    <row r="737" customFormat="false" ht="15.75" hidden="false" customHeight="false" outlineLevel="0" collapsed="false">
      <c r="F737" s="50"/>
      <c r="G737" s="50"/>
      <c r="H737" s="50"/>
      <c r="I737" s="50"/>
    </row>
    <row r="738" customFormat="false" ht="15.75" hidden="false" customHeight="false" outlineLevel="0" collapsed="false">
      <c r="F738" s="50"/>
      <c r="G738" s="50"/>
      <c r="H738" s="50"/>
      <c r="I738" s="50"/>
    </row>
    <row r="739" customFormat="false" ht="15.75" hidden="false" customHeight="false" outlineLevel="0" collapsed="false">
      <c r="F739" s="50"/>
      <c r="G739" s="50"/>
      <c r="H739" s="50"/>
      <c r="I739" s="50"/>
    </row>
    <row r="740" customFormat="false" ht="15.75" hidden="false" customHeight="false" outlineLevel="0" collapsed="false">
      <c r="F740" s="50"/>
      <c r="G740" s="50"/>
      <c r="H740" s="50"/>
      <c r="I740" s="50"/>
    </row>
    <row r="741" customFormat="false" ht="15.75" hidden="false" customHeight="false" outlineLevel="0" collapsed="false">
      <c r="F741" s="50"/>
      <c r="G741" s="50"/>
      <c r="H741" s="50"/>
      <c r="I741" s="50"/>
    </row>
    <row r="742" customFormat="false" ht="15.75" hidden="false" customHeight="false" outlineLevel="0" collapsed="false">
      <c r="F742" s="50"/>
      <c r="G742" s="50"/>
      <c r="H742" s="50"/>
      <c r="I742" s="50"/>
    </row>
    <row r="743" customFormat="false" ht="15.75" hidden="false" customHeight="false" outlineLevel="0" collapsed="false">
      <c r="F743" s="50"/>
      <c r="G743" s="50"/>
      <c r="H743" s="50"/>
      <c r="I743" s="50"/>
    </row>
    <row r="744" customFormat="false" ht="15.75" hidden="false" customHeight="false" outlineLevel="0" collapsed="false">
      <c r="F744" s="50"/>
      <c r="G744" s="50"/>
      <c r="H744" s="50"/>
      <c r="I744" s="50"/>
    </row>
    <row r="745" customFormat="false" ht="15.75" hidden="false" customHeight="false" outlineLevel="0" collapsed="false">
      <c r="F745" s="50"/>
      <c r="G745" s="50"/>
      <c r="H745" s="50"/>
      <c r="I745" s="50"/>
    </row>
    <row r="746" customFormat="false" ht="15.75" hidden="false" customHeight="false" outlineLevel="0" collapsed="false">
      <c r="F746" s="50"/>
      <c r="G746" s="50"/>
      <c r="H746" s="50"/>
      <c r="I746" s="50"/>
    </row>
    <row r="747" customFormat="false" ht="15.75" hidden="false" customHeight="false" outlineLevel="0" collapsed="false">
      <c r="F747" s="50"/>
      <c r="G747" s="50"/>
      <c r="H747" s="50"/>
      <c r="I747" s="50"/>
    </row>
    <row r="748" customFormat="false" ht="15.75" hidden="false" customHeight="false" outlineLevel="0" collapsed="false">
      <c r="F748" s="50"/>
      <c r="G748" s="50"/>
      <c r="H748" s="50"/>
      <c r="I748" s="50"/>
    </row>
    <row r="749" customFormat="false" ht="15.75" hidden="false" customHeight="false" outlineLevel="0" collapsed="false">
      <c r="F749" s="50"/>
      <c r="G749" s="50"/>
      <c r="H749" s="50"/>
      <c r="I749" s="50"/>
    </row>
    <row r="750" customFormat="false" ht="15.75" hidden="false" customHeight="false" outlineLevel="0" collapsed="false">
      <c r="F750" s="50"/>
      <c r="G750" s="50"/>
      <c r="H750" s="50"/>
      <c r="I750" s="50"/>
    </row>
    <row r="751" customFormat="false" ht="15.75" hidden="false" customHeight="false" outlineLevel="0" collapsed="false">
      <c r="F751" s="50"/>
      <c r="G751" s="50"/>
      <c r="H751" s="50"/>
      <c r="I751" s="50"/>
    </row>
    <row r="752" customFormat="false" ht="15.75" hidden="false" customHeight="false" outlineLevel="0" collapsed="false">
      <c r="F752" s="50"/>
      <c r="G752" s="50"/>
      <c r="H752" s="50"/>
      <c r="I752" s="50"/>
    </row>
    <row r="753" customFormat="false" ht="15.75" hidden="false" customHeight="false" outlineLevel="0" collapsed="false">
      <c r="F753" s="50"/>
      <c r="G753" s="50"/>
      <c r="H753" s="50"/>
      <c r="I753" s="50"/>
    </row>
    <row r="754" customFormat="false" ht="15.75" hidden="false" customHeight="false" outlineLevel="0" collapsed="false">
      <c r="F754" s="50"/>
      <c r="G754" s="50"/>
      <c r="H754" s="50"/>
      <c r="I754" s="50"/>
    </row>
    <row r="755" customFormat="false" ht="15.75" hidden="false" customHeight="false" outlineLevel="0" collapsed="false">
      <c r="F755" s="50"/>
      <c r="G755" s="50"/>
      <c r="H755" s="50"/>
      <c r="I755" s="50"/>
    </row>
    <row r="756" customFormat="false" ht="15.75" hidden="false" customHeight="false" outlineLevel="0" collapsed="false">
      <c r="F756" s="50"/>
      <c r="G756" s="50"/>
      <c r="H756" s="50"/>
      <c r="I756" s="50"/>
    </row>
    <row r="757" customFormat="false" ht="15.75" hidden="false" customHeight="false" outlineLevel="0" collapsed="false">
      <c r="F757" s="50"/>
      <c r="G757" s="50"/>
      <c r="H757" s="50"/>
      <c r="I757" s="50"/>
    </row>
    <row r="758" customFormat="false" ht="15.75" hidden="false" customHeight="false" outlineLevel="0" collapsed="false">
      <c r="F758" s="50"/>
      <c r="G758" s="50"/>
      <c r="H758" s="50"/>
      <c r="I758" s="50"/>
    </row>
    <row r="759" customFormat="false" ht="15.75" hidden="false" customHeight="false" outlineLevel="0" collapsed="false">
      <c r="F759" s="50"/>
      <c r="G759" s="50"/>
      <c r="H759" s="50"/>
      <c r="I759" s="50"/>
    </row>
    <row r="760" customFormat="false" ht="15.75" hidden="false" customHeight="false" outlineLevel="0" collapsed="false">
      <c r="F760" s="50"/>
      <c r="G760" s="50"/>
      <c r="H760" s="50"/>
      <c r="I760" s="50"/>
    </row>
    <row r="761" customFormat="false" ht="15.75" hidden="false" customHeight="false" outlineLevel="0" collapsed="false">
      <c r="F761" s="50"/>
      <c r="G761" s="50"/>
      <c r="H761" s="50"/>
      <c r="I761" s="50"/>
    </row>
    <row r="762" customFormat="false" ht="15.75" hidden="false" customHeight="false" outlineLevel="0" collapsed="false">
      <c r="F762" s="50"/>
      <c r="G762" s="50"/>
      <c r="H762" s="50"/>
      <c r="I762" s="50"/>
    </row>
    <row r="763" customFormat="false" ht="15.75" hidden="false" customHeight="false" outlineLevel="0" collapsed="false">
      <c r="F763" s="50"/>
      <c r="G763" s="50"/>
      <c r="H763" s="50"/>
      <c r="I763" s="50"/>
    </row>
    <row r="764" customFormat="false" ht="15.75" hidden="false" customHeight="false" outlineLevel="0" collapsed="false">
      <c r="F764" s="50"/>
      <c r="G764" s="50"/>
      <c r="H764" s="50"/>
      <c r="I764" s="50"/>
    </row>
    <row r="765" customFormat="false" ht="15.75" hidden="false" customHeight="false" outlineLevel="0" collapsed="false">
      <c r="F765" s="50"/>
      <c r="G765" s="50"/>
      <c r="H765" s="50"/>
      <c r="I765" s="50"/>
    </row>
    <row r="766" customFormat="false" ht="15.75" hidden="false" customHeight="false" outlineLevel="0" collapsed="false">
      <c r="F766" s="50"/>
      <c r="G766" s="50"/>
      <c r="H766" s="50"/>
      <c r="I766" s="50"/>
    </row>
    <row r="767" customFormat="false" ht="15.75" hidden="false" customHeight="false" outlineLevel="0" collapsed="false">
      <c r="F767" s="50"/>
      <c r="G767" s="50"/>
      <c r="H767" s="50"/>
      <c r="I767" s="50"/>
    </row>
    <row r="768" customFormat="false" ht="15.75" hidden="false" customHeight="false" outlineLevel="0" collapsed="false">
      <c r="F768" s="50"/>
      <c r="G768" s="50"/>
      <c r="H768" s="50"/>
      <c r="I768" s="50"/>
    </row>
    <row r="769" customFormat="false" ht="15.75" hidden="false" customHeight="false" outlineLevel="0" collapsed="false">
      <c r="F769" s="50"/>
      <c r="G769" s="50"/>
      <c r="H769" s="50"/>
      <c r="I769" s="50"/>
    </row>
    <row r="770" customFormat="false" ht="15.75" hidden="false" customHeight="false" outlineLevel="0" collapsed="false">
      <c r="F770" s="50"/>
      <c r="G770" s="50"/>
      <c r="H770" s="50"/>
      <c r="I770" s="50"/>
    </row>
    <row r="771" customFormat="false" ht="15.75" hidden="false" customHeight="false" outlineLevel="0" collapsed="false">
      <c r="F771" s="50"/>
      <c r="G771" s="50"/>
      <c r="H771" s="50"/>
      <c r="I771" s="50"/>
    </row>
    <row r="772" customFormat="false" ht="15.75" hidden="false" customHeight="false" outlineLevel="0" collapsed="false">
      <c r="F772" s="50"/>
      <c r="G772" s="50"/>
      <c r="H772" s="50"/>
      <c r="I772" s="50"/>
    </row>
    <row r="773" customFormat="false" ht="15.75" hidden="false" customHeight="false" outlineLevel="0" collapsed="false">
      <c r="F773" s="50"/>
      <c r="G773" s="50"/>
      <c r="H773" s="50"/>
      <c r="I773" s="50"/>
    </row>
    <row r="774" customFormat="false" ht="15.75" hidden="false" customHeight="false" outlineLevel="0" collapsed="false">
      <c r="F774" s="50"/>
      <c r="G774" s="50"/>
      <c r="H774" s="50"/>
      <c r="I774" s="50"/>
    </row>
    <row r="775" customFormat="false" ht="15.75" hidden="false" customHeight="false" outlineLevel="0" collapsed="false">
      <c r="F775" s="50"/>
      <c r="G775" s="50"/>
      <c r="H775" s="50"/>
      <c r="I775" s="50"/>
    </row>
    <row r="776" customFormat="false" ht="15.75" hidden="false" customHeight="false" outlineLevel="0" collapsed="false">
      <c r="F776" s="50"/>
      <c r="G776" s="50"/>
      <c r="H776" s="50"/>
      <c r="I776" s="50"/>
    </row>
    <row r="777" customFormat="false" ht="15.75" hidden="false" customHeight="false" outlineLevel="0" collapsed="false">
      <c r="F777" s="50"/>
      <c r="G777" s="50"/>
      <c r="H777" s="50"/>
      <c r="I777" s="50"/>
    </row>
    <row r="778" customFormat="false" ht="15.75" hidden="false" customHeight="false" outlineLevel="0" collapsed="false">
      <c r="F778" s="50"/>
      <c r="G778" s="50"/>
      <c r="H778" s="50"/>
      <c r="I778" s="50"/>
    </row>
    <row r="779" customFormat="false" ht="15.75" hidden="false" customHeight="false" outlineLevel="0" collapsed="false">
      <c r="F779" s="50"/>
      <c r="G779" s="50"/>
      <c r="H779" s="50"/>
      <c r="I779" s="50"/>
    </row>
    <row r="780" customFormat="false" ht="15.75" hidden="false" customHeight="false" outlineLevel="0" collapsed="false">
      <c r="F780" s="50"/>
      <c r="G780" s="50"/>
      <c r="H780" s="50"/>
      <c r="I780" s="50"/>
    </row>
    <row r="781" customFormat="false" ht="15.75" hidden="false" customHeight="false" outlineLevel="0" collapsed="false">
      <c r="F781" s="50"/>
      <c r="G781" s="50"/>
      <c r="H781" s="50"/>
      <c r="I781" s="50"/>
    </row>
    <row r="782" customFormat="false" ht="15.75" hidden="false" customHeight="false" outlineLevel="0" collapsed="false">
      <c r="F782" s="50"/>
      <c r="G782" s="50"/>
      <c r="H782" s="50"/>
      <c r="I782" s="50"/>
    </row>
    <row r="783" customFormat="false" ht="15.75" hidden="false" customHeight="false" outlineLevel="0" collapsed="false">
      <c r="F783" s="50"/>
      <c r="G783" s="50"/>
      <c r="H783" s="50"/>
      <c r="I783" s="50"/>
    </row>
    <row r="784" customFormat="false" ht="15.75" hidden="false" customHeight="false" outlineLevel="0" collapsed="false">
      <c r="F784" s="50"/>
      <c r="G784" s="50"/>
      <c r="H784" s="50"/>
      <c r="I784" s="50"/>
    </row>
    <row r="785" customFormat="false" ht="15.75" hidden="false" customHeight="false" outlineLevel="0" collapsed="false">
      <c r="F785" s="50"/>
      <c r="G785" s="50"/>
      <c r="H785" s="50"/>
      <c r="I785" s="50"/>
    </row>
    <row r="786" customFormat="false" ht="15.75" hidden="false" customHeight="false" outlineLevel="0" collapsed="false">
      <c r="F786" s="50"/>
      <c r="G786" s="50"/>
      <c r="H786" s="50"/>
      <c r="I786" s="50"/>
    </row>
    <row r="787" customFormat="false" ht="15.75" hidden="false" customHeight="false" outlineLevel="0" collapsed="false">
      <c r="F787" s="50"/>
      <c r="G787" s="50"/>
      <c r="H787" s="50"/>
      <c r="I787" s="50"/>
    </row>
    <row r="788" customFormat="false" ht="15.75" hidden="false" customHeight="false" outlineLevel="0" collapsed="false">
      <c r="F788" s="50"/>
      <c r="G788" s="50"/>
      <c r="H788" s="50"/>
      <c r="I788" s="50"/>
    </row>
    <row r="789" customFormat="false" ht="15.75" hidden="false" customHeight="false" outlineLevel="0" collapsed="false">
      <c r="F789" s="50"/>
      <c r="G789" s="50"/>
      <c r="H789" s="50"/>
      <c r="I789" s="50"/>
    </row>
    <row r="790" customFormat="false" ht="15.75" hidden="false" customHeight="false" outlineLevel="0" collapsed="false">
      <c r="F790" s="50"/>
      <c r="G790" s="50"/>
      <c r="H790" s="50"/>
      <c r="I790" s="50"/>
    </row>
    <row r="791" customFormat="false" ht="15.75" hidden="false" customHeight="false" outlineLevel="0" collapsed="false">
      <c r="F791" s="50"/>
      <c r="G791" s="50"/>
      <c r="H791" s="50"/>
      <c r="I791" s="50"/>
    </row>
    <row r="792" customFormat="false" ht="15.75" hidden="false" customHeight="false" outlineLevel="0" collapsed="false">
      <c r="F792" s="50"/>
      <c r="G792" s="50"/>
      <c r="H792" s="50"/>
      <c r="I792" s="50"/>
    </row>
    <row r="793" customFormat="false" ht="15.75" hidden="false" customHeight="false" outlineLevel="0" collapsed="false">
      <c r="F793" s="50"/>
      <c r="G793" s="50"/>
      <c r="H793" s="50"/>
      <c r="I793" s="50"/>
    </row>
    <row r="794" customFormat="false" ht="15.75" hidden="false" customHeight="false" outlineLevel="0" collapsed="false">
      <c r="F794" s="50"/>
      <c r="G794" s="50"/>
      <c r="H794" s="50"/>
      <c r="I794" s="50"/>
    </row>
    <row r="795" customFormat="false" ht="15.75" hidden="false" customHeight="false" outlineLevel="0" collapsed="false">
      <c r="F795" s="50"/>
      <c r="G795" s="50"/>
      <c r="H795" s="50"/>
      <c r="I795" s="50"/>
    </row>
    <row r="796" customFormat="false" ht="15.75" hidden="false" customHeight="false" outlineLevel="0" collapsed="false">
      <c r="F796" s="50"/>
      <c r="G796" s="50"/>
      <c r="H796" s="50"/>
      <c r="I796" s="50"/>
    </row>
    <row r="797" customFormat="false" ht="15.75" hidden="false" customHeight="false" outlineLevel="0" collapsed="false">
      <c r="F797" s="50"/>
      <c r="G797" s="50"/>
      <c r="H797" s="50"/>
      <c r="I797" s="50"/>
    </row>
    <row r="798" customFormat="false" ht="15.75" hidden="false" customHeight="false" outlineLevel="0" collapsed="false">
      <c r="F798" s="50"/>
      <c r="G798" s="50"/>
      <c r="H798" s="50"/>
      <c r="I798" s="50"/>
    </row>
    <row r="799" customFormat="false" ht="15.75" hidden="false" customHeight="false" outlineLevel="0" collapsed="false">
      <c r="F799" s="50"/>
      <c r="G799" s="50"/>
      <c r="H799" s="50"/>
      <c r="I799" s="50"/>
    </row>
    <row r="800" customFormat="false" ht="15.75" hidden="false" customHeight="false" outlineLevel="0" collapsed="false">
      <c r="F800" s="50"/>
      <c r="G800" s="50"/>
      <c r="H800" s="50"/>
      <c r="I800" s="50"/>
    </row>
    <row r="801" customFormat="false" ht="15.75" hidden="false" customHeight="false" outlineLevel="0" collapsed="false">
      <c r="F801" s="50"/>
      <c r="G801" s="50"/>
      <c r="H801" s="50"/>
      <c r="I801" s="50"/>
    </row>
    <row r="802" customFormat="false" ht="15.75" hidden="false" customHeight="false" outlineLevel="0" collapsed="false">
      <c r="F802" s="50"/>
      <c r="G802" s="50"/>
      <c r="H802" s="50"/>
      <c r="I802" s="50"/>
    </row>
    <row r="803" customFormat="false" ht="15.75" hidden="false" customHeight="false" outlineLevel="0" collapsed="false">
      <c r="F803" s="50"/>
      <c r="G803" s="50"/>
      <c r="H803" s="50"/>
      <c r="I803" s="50"/>
    </row>
    <row r="804" customFormat="false" ht="15.75" hidden="false" customHeight="false" outlineLevel="0" collapsed="false">
      <c r="F804" s="50"/>
      <c r="G804" s="50"/>
      <c r="H804" s="50"/>
      <c r="I804" s="50"/>
    </row>
    <row r="805" customFormat="false" ht="15.75" hidden="false" customHeight="false" outlineLevel="0" collapsed="false">
      <c r="F805" s="50"/>
      <c r="G805" s="50"/>
      <c r="H805" s="50"/>
      <c r="I805" s="50"/>
    </row>
    <row r="806" customFormat="false" ht="15.75" hidden="false" customHeight="false" outlineLevel="0" collapsed="false">
      <c r="F806" s="50"/>
      <c r="G806" s="50"/>
      <c r="H806" s="50"/>
      <c r="I806" s="50"/>
    </row>
    <row r="807" customFormat="false" ht="15.75" hidden="false" customHeight="false" outlineLevel="0" collapsed="false">
      <c r="F807" s="50"/>
      <c r="G807" s="50"/>
      <c r="H807" s="50"/>
      <c r="I807" s="50"/>
    </row>
    <row r="808" customFormat="false" ht="15.75" hidden="false" customHeight="false" outlineLevel="0" collapsed="false">
      <c r="F808" s="50"/>
      <c r="G808" s="50"/>
      <c r="H808" s="50"/>
      <c r="I808" s="50"/>
    </row>
    <row r="809" customFormat="false" ht="15.75" hidden="false" customHeight="false" outlineLevel="0" collapsed="false">
      <c r="F809" s="50"/>
      <c r="G809" s="50"/>
      <c r="H809" s="50"/>
      <c r="I809" s="50"/>
    </row>
    <row r="810" customFormat="false" ht="15.75" hidden="false" customHeight="false" outlineLevel="0" collapsed="false">
      <c r="F810" s="50"/>
      <c r="G810" s="50"/>
      <c r="H810" s="50"/>
      <c r="I810" s="50"/>
    </row>
    <row r="811" customFormat="false" ht="15.75" hidden="false" customHeight="false" outlineLevel="0" collapsed="false">
      <c r="F811" s="50"/>
      <c r="G811" s="50"/>
      <c r="H811" s="50"/>
      <c r="I811" s="50"/>
    </row>
    <row r="812" customFormat="false" ht="15.75" hidden="false" customHeight="false" outlineLevel="0" collapsed="false">
      <c r="F812" s="50"/>
      <c r="G812" s="50"/>
      <c r="H812" s="50"/>
      <c r="I812" s="50"/>
    </row>
    <row r="813" customFormat="false" ht="15.75" hidden="false" customHeight="false" outlineLevel="0" collapsed="false">
      <c r="F813" s="50"/>
      <c r="G813" s="50"/>
      <c r="H813" s="50"/>
      <c r="I813" s="50"/>
    </row>
    <row r="814" customFormat="false" ht="15.75" hidden="false" customHeight="false" outlineLevel="0" collapsed="false">
      <c r="F814" s="50"/>
      <c r="G814" s="50"/>
      <c r="H814" s="50"/>
      <c r="I814" s="50"/>
    </row>
    <row r="815" customFormat="false" ht="15.75" hidden="false" customHeight="false" outlineLevel="0" collapsed="false">
      <c r="F815" s="50"/>
      <c r="G815" s="50"/>
      <c r="H815" s="50"/>
      <c r="I815" s="50"/>
    </row>
    <row r="816" customFormat="false" ht="15.75" hidden="false" customHeight="false" outlineLevel="0" collapsed="false">
      <c r="F816" s="50"/>
      <c r="G816" s="50"/>
      <c r="H816" s="50"/>
      <c r="I816" s="50"/>
    </row>
    <row r="817" customFormat="false" ht="15.75" hidden="false" customHeight="false" outlineLevel="0" collapsed="false">
      <c r="F817" s="50"/>
      <c r="G817" s="50"/>
      <c r="H817" s="50"/>
      <c r="I817" s="50"/>
    </row>
    <row r="818" customFormat="false" ht="15.75" hidden="false" customHeight="false" outlineLevel="0" collapsed="false">
      <c r="F818" s="50"/>
      <c r="G818" s="50"/>
      <c r="H818" s="50"/>
      <c r="I818" s="50"/>
    </row>
    <row r="819" customFormat="false" ht="15.75" hidden="false" customHeight="false" outlineLevel="0" collapsed="false">
      <c r="F819" s="50"/>
      <c r="G819" s="50"/>
      <c r="H819" s="50"/>
      <c r="I819" s="50"/>
    </row>
    <row r="820" customFormat="false" ht="15.75" hidden="false" customHeight="false" outlineLevel="0" collapsed="false">
      <c r="F820" s="50"/>
      <c r="G820" s="50"/>
      <c r="H820" s="50"/>
      <c r="I820" s="50"/>
    </row>
    <row r="821" customFormat="false" ht="15.75" hidden="false" customHeight="false" outlineLevel="0" collapsed="false">
      <c r="F821" s="50"/>
      <c r="G821" s="50"/>
      <c r="H821" s="50"/>
      <c r="I821" s="50"/>
    </row>
    <row r="822" customFormat="false" ht="15.75" hidden="false" customHeight="false" outlineLevel="0" collapsed="false">
      <c r="F822" s="50"/>
      <c r="G822" s="50"/>
      <c r="H822" s="50"/>
      <c r="I822" s="50"/>
    </row>
    <row r="823" customFormat="false" ht="15.75" hidden="false" customHeight="false" outlineLevel="0" collapsed="false">
      <c r="F823" s="50"/>
      <c r="G823" s="50"/>
      <c r="H823" s="50"/>
      <c r="I823" s="50"/>
    </row>
    <row r="824" customFormat="false" ht="15.75" hidden="false" customHeight="false" outlineLevel="0" collapsed="false">
      <c r="F824" s="50"/>
      <c r="G824" s="50"/>
      <c r="H824" s="50"/>
      <c r="I824" s="50"/>
    </row>
    <row r="825" customFormat="false" ht="15.75" hidden="false" customHeight="false" outlineLevel="0" collapsed="false">
      <c r="F825" s="50"/>
      <c r="G825" s="50"/>
      <c r="H825" s="50"/>
      <c r="I825" s="50"/>
    </row>
    <row r="826" customFormat="false" ht="15.75" hidden="false" customHeight="false" outlineLevel="0" collapsed="false">
      <c r="F826" s="50"/>
      <c r="G826" s="50"/>
      <c r="H826" s="50"/>
      <c r="I826" s="50"/>
    </row>
    <row r="827" customFormat="false" ht="15.75" hidden="false" customHeight="false" outlineLevel="0" collapsed="false">
      <c r="F827" s="50"/>
      <c r="G827" s="50"/>
      <c r="H827" s="50"/>
      <c r="I827" s="50"/>
    </row>
    <row r="828" customFormat="false" ht="15.75" hidden="false" customHeight="false" outlineLevel="0" collapsed="false">
      <c r="F828" s="50"/>
      <c r="G828" s="50"/>
      <c r="H828" s="50"/>
      <c r="I828" s="50"/>
    </row>
    <row r="829" customFormat="false" ht="15.75" hidden="false" customHeight="false" outlineLevel="0" collapsed="false">
      <c r="F829" s="50"/>
      <c r="G829" s="50"/>
      <c r="H829" s="50"/>
      <c r="I829" s="50"/>
    </row>
    <row r="830" customFormat="false" ht="15.75" hidden="false" customHeight="false" outlineLevel="0" collapsed="false">
      <c r="F830" s="50"/>
      <c r="G830" s="50"/>
      <c r="H830" s="50"/>
      <c r="I830" s="50"/>
    </row>
    <row r="831" customFormat="false" ht="15.75" hidden="false" customHeight="false" outlineLevel="0" collapsed="false">
      <c r="F831" s="50"/>
      <c r="G831" s="50"/>
      <c r="H831" s="50"/>
      <c r="I831" s="50"/>
    </row>
    <row r="832" customFormat="false" ht="15.75" hidden="false" customHeight="false" outlineLevel="0" collapsed="false">
      <c r="F832" s="50"/>
      <c r="G832" s="50"/>
      <c r="H832" s="50"/>
      <c r="I832" s="50"/>
    </row>
    <row r="833" customFormat="false" ht="15.75" hidden="false" customHeight="false" outlineLevel="0" collapsed="false">
      <c r="F833" s="50"/>
      <c r="G833" s="50"/>
      <c r="H833" s="50"/>
      <c r="I833" s="50"/>
    </row>
    <row r="834" customFormat="false" ht="15.75" hidden="false" customHeight="false" outlineLevel="0" collapsed="false">
      <c r="F834" s="50"/>
      <c r="G834" s="50"/>
      <c r="H834" s="50"/>
      <c r="I834" s="50"/>
    </row>
    <row r="835" customFormat="false" ht="15.75" hidden="false" customHeight="false" outlineLevel="0" collapsed="false">
      <c r="F835" s="50"/>
      <c r="G835" s="50"/>
      <c r="H835" s="50"/>
      <c r="I835" s="50"/>
    </row>
    <row r="836" customFormat="false" ht="15.75" hidden="false" customHeight="false" outlineLevel="0" collapsed="false">
      <c r="F836" s="50"/>
      <c r="G836" s="50"/>
      <c r="H836" s="50"/>
      <c r="I836" s="50"/>
    </row>
    <row r="837" customFormat="false" ht="15.75" hidden="false" customHeight="false" outlineLevel="0" collapsed="false">
      <c r="F837" s="50"/>
      <c r="G837" s="50"/>
      <c r="H837" s="50"/>
      <c r="I837" s="50"/>
    </row>
    <row r="838" customFormat="false" ht="15.75" hidden="false" customHeight="false" outlineLevel="0" collapsed="false">
      <c r="F838" s="50"/>
      <c r="G838" s="50"/>
      <c r="H838" s="50"/>
      <c r="I838" s="50"/>
    </row>
    <row r="839" customFormat="false" ht="15.75" hidden="false" customHeight="false" outlineLevel="0" collapsed="false">
      <c r="F839" s="50"/>
      <c r="G839" s="50"/>
      <c r="H839" s="50"/>
      <c r="I839" s="50"/>
    </row>
    <row r="840" customFormat="false" ht="15.75" hidden="false" customHeight="false" outlineLevel="0" collapsed="false">
      <c r="F840" s="50"/>
      <c r="G840" s="50"/>
      <c r="H840" s="50"/>
      <c r="I840" s="50"/>
    </row>
    <row r="841" customFormat="false" ht="15.75" hidden="false" customHeight="false" outlineLevel="0" collapsed="false">
      <c r="F841" s="50"/>
      <c r="G841" s="50"/>
      <c r="H841" s="50"/>
      <c r="I841" s="50"/>
    </row>
    <row r="842" customFormat="false" ht="15.75" hidden="false" customHeight="false" outlineLevel="0" collapsed="false">
      <c r="F842" s="50"/>
      <c r="G842" s="50"/>
      <c r="H842" s="50"/>
      <c r="I842" s="50"/>
    </row>
    <row r="843" customFormat="false" ht="15.75" hidden="false" customHeight="false" outlineLevel="0" collapsed="false">
      <c r="F843" s="50"/>
      <c r="G843" s="50"/>
      <c r="H843" s="50"/>
      <c r="I843" s="50"/>
    </row>
    <row r="844" customFormat="false" ht="15.75" hidden="false" customHeight="false" outlineLevel="0" collapsed="false">
      <c r="F844" s="50"/>
      <c r="G844" s="50"/>
      <c r="H844" s="50"/>
      <c r="I844" s="50"/>
    </row>
    <row r="845" customFormat="false" ht="15.75" hidden="false" customHeight="false" outlineLevel="0" collapsed="false">
      <c r="F845" s="50"/>
      <c r="G845" s="50"/>
      <c r="H845" s="50"/>
      <c r="I845" s="50"/>
    </row>
    <row r="846" customFormat="false" ht="15.75" hidden="false" customHeight="false" outlineLevel="0" collapsed="false">
      <c r="F846" s="50"/>
      <c r="G846" s="50"/>
      <c r="H846" s="50"/>
      <c r="I846" s="50"/>
    </row>
    <row r="847" customFormat="false" ht="15.75" hidden="false" customHeight="false" outlineLevel="0" collapsed="false">
      <c r="F847" s="50"/>
      <c r="G847" s="50"/>
      <c r="H847" s="50"/>
      <c r="I847" s="50"/>
    </row>
    <row r="848" customFormat="false" ht="15.75" hidden="false" customHeight="false" outlineLevel="0" collapsed="false">
      <c r="F848" s="50"/>
      <c r="G848" s="50"/>
      <c r="H848" s="50"/>
      <c r="I848" s="50"/>
    </row>
    <row r="849" customFormat="false" ht="15.75" hidden="false" customHeight="false" outlineLevel="0" collapsed="false">
      <c r="F849" s="50"/>
      <c r="G849" s="50"/>
      <c r="H849" s="50"/>
      <c r="I849" s="50"/>
    </row>
    <row r="850" customFormat="false" ht="15.75" hidden="false" customHeight="false" outlineLevel="0" collapsed="false">
      <c r="F850" s="50"/>
      <c r="G850" s="50"/>
      <c r="H850" s="50"/>
      <c r="I850" s="50"/>
    </row>
    <row r="851" customFormat="false" ht="15.75" hidden="false" customHeight="false" outlineLevel="0" collapsed="false">
      <c r="F851" s="50"/>
      <c r="G851" s="50"/>
      <c r="H851" s="50"/>
      <c r="I851" s="50"/>
    </row>
    <row r="852" customFormat="false" ht="15.75" hidden="false" customHeight="false" outlineLevel="0" collapsed="false">
      <c r="F852" s="50"/>
      <c r="G852" s="50"/>
      <c r="H852" s="50"/>
      <c r="I852" s="50"/>
    </row>
    <row r="853" customFormat="false" ht="15.75" hidden="false" customHeight="false" outlineLevel="0" collapsed="false">
      <c r="F853" s="50"/>
      <c r="G853" s="50"/>
      <c r="H853" s="50"/>
      <c r="I853" s="50"/>
    </row>
    <row r="854" customFormat="false" ht="15.75" hidden="false" customHeight="false" outlineLevel="0" collapsed="false">
      <c r="F854" s="50"/>
      <c r="G854" s="50"/>
      <c r="H854" s="50"/>
      <c r="I854" s="50"/>
    </row>
    <row r="855" customFormat="false" ht="15.75" hidden="false" customHeight="false" outlineLevel="0" collapsed="false">
      <c r="F855" s="50"/>
      <c r="G855" s="50"/>
      <c r="H855" s="50"/>
      <c r="I855" s="50"/>
    </row>
    <row r="856" customFormat="false" ht="15.75" hidden="false" customHeight="false" outlineLevel="0" collapsed="false">
      <c r="F856" s="50"/>
      <c r="G856" s="50"/>
      <c r="H856" s="50"/>
      <c r="I856" s="50"/>
    </row>
    <row r="857" customFormat="false" ht="15.75" hidden="false" customHeight="false" outlineLevel="0" collapsed="false">
      <c r="F857" s="50"/>
      <c r="G857" s="50"/>
      <c r="H857" s="50"/>
      <c r="I857" s="50"/>
    </row>
    <row r="858" customFormat="false" ht="15.75" hidden="false" customHeight="false" outlineLevel="0" collapsed="false">
      <c r="F858" s="50"/>
      <c r="G858" s="50"/>
      <c r="H858" s="50"/>
      <c r="I858" s="50"/>
    </row>
    <row r="859" customFormat="false" ht="15.75" hidden="false" customHeight="false" outlineLevel="0" collapsed="false">
      <c r="F859" s="50"/>
      <c r="G859" s="50"/>
      <c r="H859" s="50"/>
      <c r="I859" s="50"/>
    </row>
    <row r="860" customFormat="false" ht="15.75" hidden="false" customHeight="false" outlineLevel="0" collapsed="false">
      <c r="F860" s="50"/>
      <c r="G860" s="50"/>
      <c r="H860" s="50"/>
      <c r="I860" s="50"/>
    </row>
    <row r="861" customFormat="false" ht="15.75" hidden="false" customHeight="false" outlineLevel="0" collapsed="false">
      <c r="F861" s="50"/>
      <c r="G861" s="50"/>
      <c r="H861" s="50"/>
      <c r="I861" s="50"/>
    </row>
    <row r="862" customFormat="false" ht="15.75" hidden="false" customHeight="false" outlineLevel="0" collapsed="false">
      <c r="F862" s="50"/>
      <c r="G862" s="50"/>
      <c r="H862" s="50"/>
      <c r="I862" s="50"/>
    </row>
    <row r="863" customFormat="false" ht="15.75" hidden="false" customHeight="false" outlineLevel="0" collapsed="false">
      <c r="F863" s="50"/>
      <c r="G863" s="50"/>
      <c r="H863" s="50"/>
      <c r="I863" s="50"/>
    </row>
    <row r="864" customFormat="false" ht="15.75" hidden="false" customHeight="false" outlineLevel="0" collapsed="false">
      <c r="F864" s="50"/>
      <c r="G864" s="50"/>
      <c r="H864" s="50"/>
      <c r="I864" s="50"/>
    </row>
    <row r="865" customFormat="false" ht="15.75" hidden="false" customHeight="false" outlineLevel="0" collapsed="false">
      <c r="F865" s="50"/>
      <c r="G865" s="50"/>
      <c r="H865" s="50"/>
      <c r="I865" s="50"/>
    </row>
    <row r="866" customFormat="false" ht="15.75" hidden="false" customHeight="false" outlineLevel="0" collapsed="false">
      <c r="F866" s="50"/>
      <c r="G866" s="50"/>
      <c r="H866" s="50"/>
      <c r="I866" s="50"/>
    </row>
    <row r="867" customFormat="false" ht="15.75" hidden="false" customHeight="false" outlineLevel="0" collapsed="false">
      <c r="F867" s="50"/>
      <c r="G867" s="50"/>
      <c r="H867" s="50"/>
      <c r="I867" s="50"/>
    </row>
    <row r="868" customFormat="false" ht="15.75" hidden="false" customHeight="false" outlineLevel="0" collapsed="false">
      <c r="F868" s="50"/>
      <c r="G868" s="50"/>
      <c r="H868" s="50"/>
      <c r="I868" s="50"/>
    </row>
    <row r="869" customFormat="false" ht="15.75" hidden="false" customHeight="false" outlineLevel="0" collapsed="false">
      <c r="F869" s="50"/>
      <c r="G869" s="50"/>
      <c r="H869" s="50"/>
      <c r="I869" s="50"/>
    </row>
    <row r="870" customFormat="false" ht="15.75" hidden="false" customHeight="false" outlineLevel="0" collapsed="false">
      <c r="F870" s="50"/>
      <c r="G870" s="50"/>
      <c r="H870" s="50"/>
      <c r="I870" s="50"/>
    </row>
    <row r="871" customFormat="false" ht="15.75" hidden="false" customHeight="false" outlineLevel="0" collapsed="false">
      <c r="F871" s="50"/>
      <c r="G871" s="50"/>
      <c r="H871" s="50"/>
      <c r="I871" s="50"/>
    </row>
    <row r="872" customFormat="false" ht="15.75" hidden="false" customHeight="false" outlineLevel="0" collapsed="false">
      <c r="F872" s="50"/>
      <c r="G872" s="50"/>
      <c r="H872" s="50"/>
      <c r="I872" s="50"/>
    </row>
    <row r="873" customFormat="false" ht="15.75" hidden="false" customHeight="false" outlineLevel="0" collapsed="false">
      <c r="F873" s="50"/>
      <c r="G873" s="50"/>
      <c r="H873" s="50"/>
      <c r="I873" s="50"/>
    </row>
    <row r="874" customFormat="false" ht="15.75" hidden="false" customHeight="false" outlineLevel="0" collapsed="false">
      <c r="F874" s="50"/>
      <c r="G874" s="50"/>
      <c r="H874" s="50"/>
      <c r="I874" s="50"/>
    </row>
    <row r="875" customFormat="false" ht="15.75" hidden="false" customHeight="false" outlineLevel="0" collapsed="false">
      <c r="F875" s="50"/>
      <c r="G875" s="50"/>
      <c r="H875" s="50"/>
      <c r="I875" s="50"/>
    </row>
    <row r="876" customFormat="false" ht="15.75" hidden="false" customHeight="false" outlineLevel="0" collapsed="false">
      <c r="F876" s="50"/>
      <c r="G876" s="50"/>
      <c r="H876" s="50"/>
      <c r="I876" s="50"/>
    </row>
    <row r="877" customFormat="false" ht="15.75" hidden="false" customHeight="false" outlineLevel="0" collapsed="false">
      <c r="F877" s="50"/>
      <c r="G877" s="50"/>
      <c r="H877" s="50"/>
      <c r="I877" s="50"/>
    </row>
    <row r="878" customFormat="false" ht="15.75" hidden="false" customHeight="false" outlineLevel="0" collapsed="false">
      <c r="F878" s="50"/>
      <c r="G878" s="50"/>
      <c r="H878" s="50"/>
      <c r="I878" s="50"/>
    </row>
    <row r="879" customFormat="false" ht="15.75" hidden="false" customHeight="false" outlineLevel="0" collapsed="false">
      <c r="F879" s="50"/>
      <c r="G879" s="50"/>
      <c r="H879" s="50"/>
      <c r="I879" s="50"/>
    </row>
    <row r="880" customFormat="false" ht="15.75" hidden="false" customHeight="false" outlineLevel="0" collapsed="false">
      <c r="F880" s="50"/>
      <c r="G880" s="50"/>
      <c r="H880" s="50"/>
      <c r="I880" s="50"/>
    </row>
    <row r="881" customFormat="false" ht="15.75" hidden="false" customHeight="false" outlineLevel="0" collapsed="false">
      <c r="F881" s="50"/>
      <c r="G881" s="50"/>
      <c r="H881" s="50"/>
      <c r="I881" s="50"/>
    </row>
    <row r="882" customFormat="false" ht="15.75" hidden="false" customHeight="false" outlineLevel="0" collapsed="false">
      <c r="F882" s="50"/>
      <c r="G882" s="50"/>
      <c r="H882" s="50"/>
      <c r="I882" s="50"/>
    </row>
    <row r="883" customFormat="false" ht="15.75" hidden="false" customHeight="false" outlineLevel="0" collapsed="false">
      <c r="F883" s="50"/>
      <c r="G883" s="50"/>
      <c r="H883" s="50"/>
      <c r="I883" s="50"/>
    </row>
    <row r="884" customFormat="false" ht="15.75" hidden="false" customHeight="false" outlineLevel="0" collapsed="false">
      <c r="F884" s="50"/>
      <c r="G884" s="50"/>
      <c r="H884" s="50"/>
      <c r="I884" s="50"/>
    </row>
    <row r="885" customFormat="false" ht="15.75" hidden="false" customHeight="false" outlineLevel="0" collapsed="false">
      <c r="F885" s="50"/>
      <c r="G885" s="50"/>
      <c r="H885" s="50"/>
      <c r="I885" s="50"/>
    </row>
    <row r="886" customFormat="false" ht="15.75" hidden="false" customHeight="false" outlineLevel="0" collapsed="false">
      <c r="F886" s="50"/>
      <c r="G886" s="50"/>
      <c r="H886" s="50"/>
      <c r="I886" s="50"/>
    </row>
    <row r="887" customFormat="false" ht="15.75" hidden="false" customHeight="false" outlineLevel="0" collapsed="false">
      <c r="F887" s="50"/>
      <c r="G887" s="50"/>
      <c r="H887" s="50"/>
      <c r="I887" s="50"/>
    </row>
    <row r="888" customFormat="false" ht="15.75" hidden="false" customHeight="false" outlineLevel="0" collapsed="false">
      <c r="F888" s="50"/>
      <c r="G888" s="50"/>
      <c r="H888" s="50"/>
      <c r="I888" s="50"/>
    </row>
    <row r="889" customFormat="false" ht="15.75" hidden="false" customHeight="false" outlineLevel="0" collapsed="false">
      <c r="F889" s="50"/>
      <c r="G889" s="50"/>
      <c r="H889" s="50"/>
      <c r="I889" s="50"/>
    </row>
    <row r="890" customFormat="false" ht="15.75" hidden="false" customHeight="false" outlineLevel="0" collapsed="false">
      <c r="F890" s="50"/>
      <c r="G890" s="50"/>
      <c r="H890" s="50"/>
      <c r="I890" s="50"/>
    </row>
    <row r="891" customFormat="false" ht="15.75" hidden="false" customHeight="false" outlineLevel="0" collapsed="false">
      <c r="F891" s="50"/>
      <c r="G891" s="50"/>
      <c r="H891" s="50"/>
      <c r="I891" s="50"/>
    </row>
    <row r="892" customFormat="false" ht="15.75" hidden="false" customHeight="false" outlineLevel="0" collapsed="false">
      <c r="F892" s="50"/>
      <c r="G892" s="50"/>
      <c r="H892" s="50"/>
      <c r="I892" s="50"/>
    </row>
    <row r="893" customFormat="false" ht="15.75" hidden="false" customHeight="false" outlineLevel="0" collapsed="false">
      <c r="F893" s="50"/>
      <c r="G893" s="50"/>
      <c r="H893" s="50"/>
      <c r="I893" s="50"/>
    </row>
    <row r="894" customFormat="false" ht="15.75" hidden="false" customHeight="false" outlineLevel="0" collapsed="false">
      <c r="F894" s="50"/>
      <c r="G894" s="50"/>
      <c r="H894" s="50"/>
      <c r="I894" s="50"/>
    </row>
    <row r="895" customFormat="false" ht="15.75" hidden="false" customHeight="false" outlineLevel="0" collapsed="false">
      <c r="F895" s="50"/>
      <c r="G895" s="50"/>
      <c r="H895" s="50"/>
      <c r="I895" s="50"/>
    </row>
    <row r="896" customFormat="false" ht="15.75" hidden="false" customHeight="false" outlineLevel="0" collapsed="false">
      <c r="F896" s="50"/>
      <c r="G896" s="50"/>
      <c r="H896" s="50"/>
      <c r="I896" s="50"/>
    </row>
    <row r="897" customFormat="false" ht="15.75" hidden="false" customHeight="false" outlineLevel="0" collapsed="false">
      <c r="F897" s="50"/>
      <c r="G897" s="50"/>
      <c r="H897" s="50"/>
      <c r="I897" s="50"/>
    </row>
    <row r="898" customFormat="false" ht="15.75" hidden="false" customHeight="false" outlineLevel="0" collapsed="false">
      <c r="F898" s="50"/>
      <c r="G898" s="50"/>
      <c r="H898" s="50"/>
      <c r="I898" s="50"/>
    </row>
    <row r="899" customFormat="false" ht="15.75" hidden="false" customHeight="false" outlineLevel="0" collapsed="false">
      <c r="F899" s="50"/>
      <c r="G899" s="50"/>
      <c r="H899" s="50"/>
      <c r="I899" s="50"/>
    </row>
    <row r="900" customFormat="false" ht="15.75" hidden="false" customHeight="false" outlineLevel="0" collapsed="false">
      <c r="F900" s="50"/>
      <c r="G900" s="50"/>
      <c r="H900" s="50"/>
      <c r="I900" s="50"/>
    </row>
    <row r="901" customFormat="false" ht="15.75" hidden="false" customHeight="false" outlineLevel="0" collapsed="false">
      <c r="F901" s="50"/>
      <c r="G901" s="50"/>
      <c r="H901" s="50"/>
      <c r="I901" s="50"/>
    </row>
    <row r="902" customFormat="false" ht="15.75" hidden="false" customHeight="false" outlineLevel="0" collapsed="false">
      <c r="F902" s="50"/>
      <c r="G902" s="50"/>
      <c r="H902" s="50"/>
      <c r="I902" s="50"/>
    </row>
    <row r="903" customFormat="false" ht="15.75" hidden="false" customHeight="false" outlineLevel="0" collapsed="false">
      <c r="F903" s="50"/>
      <c r="G903" s="50"/>
      <c r="H903" s="50"/>
      <c r="I903" s="50"/>
    </row>
    <row r="904" customFormat="false" ht="15.75" hidden="false" customHeight="false" outlineLevel="0" collapsed="false">
      <c r="F904" s="50"/>
      <c r="G904" s="50"/>
      <c r="H904" s="50"/>
      <c r="I904" s="50"/>
    </row>
    <row r="905" customFormat="false" ht="15.75" hidden="false" customHeight="false" outlineLevel="0" collapsed="false">
      <c r="F905" s="50"/>
      <c r="G905" s="50"/>
      <c r="H905" s="50"/>
      <c r="I905" s="50"/>
    </row>
    <row r="906" customFormat="false" ht="15.75" hidden="false" customHeight="false" outlineLevel="0" collapsed="false">
      <c r="F906" s="50"/>
      <c r="G906" s="50"/>
      <c r="H906" s="50"/>
      <c r="I906" s="50"/>
    </row>
    <row r="907" customFormat="false" ht="15.75" hidden="false" customHeight="false" outlineLevel="0" collapsed="false">
      <c r="F907" s="50"/>
      <c r="G907" s="50"/>
      <c r="H907" s="50"/>
      <c r="I907" s="50"/>
    </row>
    <row r="908" customFormat="false" ht="15.75" hidden="false" customHeight="false" outlineLevel="0" collapsed="false">
      <c r="F908" s="50"/>
      <c r="G908" s="50"/>
      <c r="H908" s="50"/>
      <c r="I908" s="50"/>
    </row>
    <row r="909" customFormat="false" ht="15.75" hidden="false" customHeight="false" outlineLevel="0" collapsed="false">
      <c r="F909" s="50"/>
      <c r="G909" s="50"/>
      <c r="H909" s="50"/>
      <c r="I909" s="50"/>
    </row>
    <row r="910" customFormat="false" ht="15.75" hidden="false" customHeight="false" outlineLevel="0" collapsed="false">
      <c r="F910" s="50"/>
      <c r="G910" s="50"/>
      <c r="H910" s="50"/>
      <c r="I910" s="50"/>
    </row>
    <row r="911" customFormat="false" ht="15.75" hidden="false" customHeight="false" outlineLevel="0" collapsed="false">
      <c r="F911" s="50"/>
      <c r="G911" s="50"/>
      <c r="H911" s="50"/>
      <c r="I911" s="50"/>
    </row>
    <row r="912" customFormat="false" ht="15.75" hidden="false" customHeight="false" outlineLevel="0" collapsed="false">
      <c r="F912" s="50"/>
      <c r="G912" s="50"/>
      <c r="H912" s="50"/>
      <c r="I912" s="50"/>
    </row>
    <row r="913" customFormat="false" ht="15.75" hidden="false" customHeight="false" outlineLevel="0" collapsed="false">
      <c r="F913" s="50"/>
      <c r="G913" s="50"/>
      <c r="H913" s="50"/>
      <c r="I913" s="50"/>
    </row>
    <row r="914" customFormat="false" ht="15.75" hidden="false" customHeight="false" outlineLevel="0" collapsed="false">
      <c r="F914" s="50"/>
      <c r="G914" s="50"/>
      <c r="H914" s="50"/>
      <c r="I914" s="50"/>
    </row>
    <row r="915" customFormat="false" ht="15.75" hidden="false" customHeight="false" outlineLevel="0" collapsed="false">
      <c r="F915" s="50"/>
      <c r="G915" s="50"/>
      <c r="H915" s="50"/>
      <c r="I915" s="50"/>
    </row>
    <row r="916" customFormat="false" ht="15.75" hidden="false" customHeight="false" outlineLevel="0" collapsed="false">
      <c r="F916" s="50"/>
      <c r="G916" s="50"/>
      <c r="H916" s="50"/>
      <c r="I916" s="50"/>
    </row>
    <row r="917" customFormat="false" ht="15.75" hidden="false" customHeight="false" outlineLevel="0" collapsed="false">
      <c r="F917" s="50"/>
      <c r="G917" s="50"/>
      <c r="H917" s="50"/>
      <c r="I917" s="50"/>
    </row>
    <row r="918" customFormat="false" ht="15.75" hidden="false" customHeight="false" outlineLevel="0" collapsed="false">
      <c r="F918" s="50"/>
      <c r="G918" s="50"/>
      <c r="H918" s="50"/>
      <c r="I918" s="50"/>
    </row>
    <row r="919" customFormat="false" ht="15.75" hidden="false" customHeight="false" outlineLevel="0" collapsed="false">
      <c r="F919" s="50"/>
      <c r="G919" s="50"/>
      <c r="H919" s="50"/>
      <c r="I919" s="50"/>
    </row>
    <row r="920" customFormat="false" ht="15.75" hidden="false" customHeight="false" outlineLevel="0" collapsed="false">
      <c r="F920" s="50"/>
      <c r="G920" s="50"/>
      <c r="H920" s="50"/>
      <c r="I920" s="50"/>
    </row>
    <row r="921" customFormat="false" ht="15.75" hidden="false" customHeight="false" outlineLevel="0" collapsed="false">
      <c r="F921" s="50"/>
      <c r="G921" s="50"/>
      <c r="H921" s="50"/>
      <c r="I921" s="50"/>
    </row>
    <row r="922" customFormat="false" ht="15.75" hidden="false" customHeight="false" outlineLevel="0" collapsed="false">
      <c r="F922" s="50"/>
      <c r="G922" s="50"/>
      <c r="H922" s="50"/>
      <c r="I922" s="50"/>
    </row>
    <row r="923" customFormat="false" ht="15.75" hidden="false" customHeight="false" outlineLevel="0" collapsed="false">
      <c r="F923" s="50"/>
      <c r="G923" s="50"/>
      <c r="H923" s="50"/>
      <c r="I923" s="50"/>
    </row>
    <row r="924" customFormat="false" ht="15.75" hidden="false" customHeight="false" outlineLevel="0" collapsed="false">
      <c r="F924" s="50"/>
      <c r="G924" s="50"/>
      <c r="H924" s="50"/>
      <c r="I924" s="50"/>
    </row>
    <row r="925" customFormat="false" ht="15.75" hidden="false" customHeight="false" outlineLevel="0" collapsed="false">
      <c r="F925" s="50"/>
      <c r="G925" s="50"/>
      <c r="H925" s="50"/>
      <c r="I925" s="50"/>
    </row>
    <row r="926" customFormat="false" ht="15.75" hidden="false" customHeight="false" outlineLevel="0" collapsed="false">
      <c r="F926" s="50"/>
      <c r="G926" s="50"/>
      <c r="H926" s="50"/>
      <c r="I926" s="50"/>
    </row>
    <row r="927" customFormat="false" ht="15.75" hidden="false" customHeight="false" outlineLevel="0" collapsed="false">
      <c r="F927" s="50"/>
      <c r="G927" s="50"/>
      <c r="H927" s="50"/>
      <c r="I927" s="50"/>
    </row>
    <row r="928" customFormat="false" ht="15.75" hidden="false" customHeight="false" outlineLevel="0" collapsed="false">
      <c r="F928" s="50"/>
      <c r="G928" s="50"/>
      <c r="H928" s="50"/>
      <c r="I928" s="50"/>
    </row>
    <row r="929" customFormat="false" ht="15.75" hidden="false" customHeight="false" outlineLevel="0" collapsed="false">
      <c r="F929" s="50"/>
      <c r="G929" s="50"/>
      <c r="H929" s="50"/>
      <c r="I929" s="50"/>
    </row>
    <row r="930" customFormat="false" ht="15.75" hidden="false" customHeight="false" outlineLevel="0" collapsed="false">
      <c r="F930" s="50"/>
      <c r="G930" s="50"/>
      <c r="H930" s="50"/>
      <c r="I930" s="50"/>
    </row>
    <row r="931" customFormat="false" ht="15.75" hidden="false" customHeight="false" outlineLevel="0" collapsed="false">
      <c r="F931" s="50"/>
      <c r="G931" s="50"/>
      <c r="H931" s="50"/>
      <c r="I931" s="50"/>
    </row>
    <row r="932" customFormat="false" ht="15.75" hidden="false" customHeight="false" outlineLevel="0" collapsed="false">
      <c r="F932" s="50"/>
      <c r="G932" s="50"/>
      <c r="H932" s="50"/>
      <c r="I932" s="50"/>
    </row>
    <row r="933" customFormat="false" ht="15.75" hidden="false" customHeight="false" outlineLevel="0" collapsed="false">
      <c r="F933" s="50"/>
      <c r="G933" s="50"/>
      <c r="H933" s="50"/>
      <c r="I933" s="50"/>
    </row>
    <row r="934" customFormat="false" ht="15.75" hidden="false" customHeight="false" outlineLevel="0" collapsed="false">
      <c r="F934" s="50"/>
      <c r="G934" s="50"/>
      <c r="H934" s="50"/>
      <c r="I934" s="50"/>
    </row>
    <row r="935" customFormat="false" ht="15.75" hidden="false" customHeight="false" outlineLevel="0" collapsed="false">
      <c r="F935" s="50"/>
      <c r="G935" s="50"/>
      <c r="H935" s="50"/>
      <c r="I935" s="50"/>
    </row>
    <row r="936" customFormat="false" ht="15.75" hidden="false" customHeight="false" outlineLevel="0" collapsed="false">
      <c r="F936" s="50"/>
      <c r="G936" s="50"/>
      <c r="H936" s="50"/>
      <c r="I936" s="50"/>
    </row>
    <row r="937" customFormat="false" ht="15.75" hidden="false" customHeight="false" outlineLevel="0" collapsed="false">
      <c r="F937" s="50"/>
      <c r="G937" s="50"/>
      <c r="H937" s="50"/>
      <c r="I937" s="50"/>
    </row>
    <row r="938" customFormat="false" ht="15.75" hidden="false" customHeight="false" outlineLevel="0" collapsed="false">
      <c r="F938" s="50"/>
      <c r="G938" s="50"/>
      <c r="H938" s="50"/>
      <c r="I938" s="50"/>
    </row>
    <row r="939" customFormat="false" ht="15.75" hidden="false" customHeight="false" outlineLevel="0" collapsed="false">
      <c r="F939" s="50"/>
      <c r="G939" s="50"/>
      <c r="H939" s="50"/>
      <c r="I939" s="50"/>
    </row>
    <row r="940" customFormat="false" ht="15.75" hidden="false" customHeight="false" outlineLevel="0" collapsed="false">
      <c r="F940" s="50"/>
      <c r="G940" s="50"/>
      <c r="H940" s="50"/>
      <c r="I940" s="50"/>
    </row>
    <row r="941" customFormat="false" ht="15.75" hidden="false" customHeight="false" outlineLevel="0" collapsed="false">
      <c r="F941" s="50"/>
      <c r="G941" s="50"/>
      <c r="H941" s="50"/>
      <c r="I941" s="50"/>
    </row>
    <row r="942" customFormat="false" ht="15.75" hidden="false" customHeight="false" outlineLevel="0" collapsed="false">
      <c r="F942" s="50"/>
      <c r="G942" s="50"/>
      <c r="H942" s="50"/>
      <c r="I942" s="50"/>
    </row>
    <row r="943" customFormat="false" ht="15.75" hidden="false" customHeight="false" outlineLevel="0" collapsed="false">
      <c r="F943" s="50"/>
      <c r="G943" s="50"/>
      <c r="H943" s="50"/>
      <c r="I943" s="50"/>
    </row>
    <row r="944" customFormat="false" ht="15.75" hidden="false" customHeight="false" outlineLevel="0" collapsed="false">
      <c r="F944" s="50"/>
      <c r="G944" s="50"/>
      <c r="H944" s="50"/>
      <c r="I944" s="50"/>
    </row>
    <row r="945" customFormat="false" ht="15.75" hidden="false" customHeight="false" outlineLevel="0" collapsed="false">
      <c r="F945" s="50"/>
      <c r="G945" s="50"/>
      <c r="H945" s="50"/>
      <c r="I945" s="50"/>
    </row>
    <row r="946" customFormat="false" ht="15.75" hidden="false" customHeight="false" outlineLevel="0" collapsed="false">
      <c r="F946" s="50"/>
      <c r="G946" s="50"/>
      <c r="H946" s="50"/>
      <c r="I946" s="50"/>
    </row>
    <row r="947" customFormat="false" ht="15.75" hidden="false" customHeight="false" outlineLevel="0" collapsed="false">
      <c r="F947" s="50"/>
      <c r="G947" s="50"/>
      <c r="H947" s="50"/>
      <c r="I947" s="50"/>
    </row>
    <row r="948" customFormat="false" ht="15.75" hidden="false" customHeight="false" outlineLevel="0" collapsed="false">
      <c r="F948" s="50"/>
      <c r="G948" s="50"/>
      <c r="H948" s="50"/>
      <c r="I948" s="50"/>
    </row>
    <row r="949" customFormat="false" ht="15.75" hidden="false" customHeight="false" outlineLevel="0" collapsed="false">
      <c r="F949" s="50"/>
      <c r="G949" s="50"/>
      <c r="H949" s="50"/>
      <c r="I949" s="50"/>
    </row>
    <row r="950" customFormat="false" ht="15.75" hidden="false" customHeight="false" outlineLevel="0" collapsed="false">
      <c r="F950" s="50"/>
      <c r="G950" s="50"/>
      <c r="H950" s="50"/>
      <c r="I950" s="50"/>
    </row>
    <row r="951" customFormat="false" ht="15.75" hidden="false" customHeight="false" outlineLevel="0" collapsed="false">
      <c r="F951" s="50"/>
      <c r="G951" s="50"/>
      <c r="H951" s="50"/>
      <c r="I951" s="50"/>
    </row>
    <row r="952" customFormat="false" ht="15.75" hidden="false" customHeight="false" outlineLevel="0" collapsed="false">
      <c r="F952" s="50"/>
      <c r="G952" s="50"/>
      <c r="H952" s="50"/>
      <c r="I952" s="50"/>
    </row>
    <row r="953" customFormat="false" ht="15.75" hidden="false" customHeight="false" outlineLevel="0" collapsed="false">
      <c r="F953" s="50"/>
      <c r="G953" s="50"/>
      <c r="H953" s="50"/>
      <c r="I953" s="50"/>
    </row>
    <row r="954" customFormat="false" ht="15.75" hidden="false" customHeight="false" outlineLevel="0" collapsed="false">
      <c r="F954" s="50"/>
      <c r="G954" s="50"/>
      <c r="H954" s="50"/>
      <c r="I954" s="50"/>
    </row>
    <row r="955" customFormat="false" ht="15.75" hidden="false" customHeight="false" outlineLevel="0" collapsed="false">
      <c r="F955" s="50"/>
      <c r="G955" s="50"/>
      <c r="H955" s="50"/>
      <c r="I955" s="50"/>
    </row>
    <row r="956" customFormat="false" ht="15.75" hidden="false" customHeight="false" outlineLevel="0" collapsed="false">
      <c r="F956" s="50"/>
      <c r="G956" s="50"/>
      <c r="H956" s="50"/>
      <c r="I956" s="50"/>
    </row>
    <row r="957" customFormat="false" ht="15.75" hidden="false" customHeight="false" outlineLevel="0" collapsed="false">
      <c r="F957" s="50"/>
      <c r="G957" s="50"/>
      <c r="H957" s="50"/>
      <c r="I957" s="50"/>
    </row>
    <row r="958" customFormat="false" ht="15.75" hidden="false" customHeight="false" outlineLevel="0" collapsed="false">
      <c r="F958" s="50"/>
      <c r="G958" s="50"/>
      <c r="H958" s="50"/>
      <c r="I958" s="50"/>
    </row>
    <row r="959" customFormat="false" ht="15.75" hidden="false" customHeight="false" outlineLevel="0" collapsed="false">
      <c r="F959" s="50"/>
      <c r="G959" s="50"/>
      <c r="H959" s="50"/>
      <c r="I959" s="50"/>
    </row>
    <row r="960" customFormat="false" ht="15.75" hidden="false" customHeight="false" outlineLevel="0" collapsed="false">
      <c r="F960" s="50"/>
      <c r="G960" s="50"/>
      <c r="H960" s="50"/>
      <c r="I960" s="50"/>
    </row>
    <row r="961" customFormat="false" ht="15.75" hidden="false" customHeight="false" outlineLevel="0" collapsed="false">
      <c r="F961" s="50"/>
      <c r="G961" s="50"/>
      <c r="H961" s="50"/>
      <c r="I961" s="50"/>
    </row>
    <row r="962" customFormat="false" ht="15.75" hidden="false" customHeight="false" outlineLevel="0" collapsed="false">
      <c r="F962" s="50"/>
      <c r="G962" s="50"/>
      <c r="H962" s="50"/>
      <c r="I962" s="50"/>
    </row>
    <row r="963" customFormat="false" ht="15.75" hidden="false" customHeight="false" outlineLevel="0" collapsed="false">
      <c r="F963" s="50"/>
      <c r="G963" s="50"/>
      <c r="H963" s="50"/>
      <c r="I963" s="50"/>
    </row>
    <row r="964" customFormat="false" ht="15.75" hidden="false" customHeight="false" outlineLevel="0" collapsed="false">
      <c r="F964" s="50"/>
      <c r="G964" s="50"/>
      <c r="H964" s="50"/>
      <c r="I964" s="50"/>
    </row>
    <row r="965" customFormat="false" ht="15.75" hidden="false" customHeight="false" outlineLevel="0" collapsed="false">
      <c r="F965" s="50"/>
      <c r="G965" s="50"/>
      <c r="H965" s="50"/>
      <c r="I965" s="50"/>
    </row>
    <row r="966" customFormat="false" ht="15.75" hidden="false" customHeight="false" outlineLevel="0" collapsed="false">
      <c r="F966" s="50"/>
      <c r="G966" s="50"/>
      <c r="H966" s="50"/>
      <c r="I966" s="50"/>
    </row>
    <row r="967" customFormat="false" ht="15.75" hidden="false" customHeight="false" outlineLevel="0" collapsed="false">
      <c r="F967" s="50"/>
      <c r="G967" s="50"/>
      <c r="H967" s="50"/>
      <c r="I967" s="50"/>
    </row>
    <row r="968" customFormat="false" ht="15.75" hidden="false" customHeight="false" outlineLevel="0" collapsed="false">
      <c r="F968" s="50"/>
      <c r="G968" s="50"/>
      <c r="H968" s="50"/>
      <c r="I968" s="50"/>
    </row>
    <row r="969" customFormat="false" ht="15.75" hidden="false" customHeight="false" outlineLevel="0" collapsed="false">
      <c r="F969" s="50"/>
      <c r="G969" s="50"/>
      <c r="H969" s="50"/>
      <c r="I969" s="50"/>
    </row>
    <row r="970" customFormat="false" ht="15.75" hidden="false" customHeight="false" outlineLevel="0" collapsed="false">
      <c r="F970" s="50"/>
      <c r="G970" s="50"/>
      <c r="H970" s="50"/>
      <c r="I970" s="50"/>
    </row>
    <row r="971" customFormat="false" ht="15.75" hidden="false" customHeight="false" outlineLevel="0" collapsed="false">
      <c r="F971" s="50"/>
      <c r="G971" s="50"/>
      <c r="H971" s="50"/>
      <c r="I971" s="50"/>
    </row>
    <row r="972" customFormat="false" ht="15.75" hidden="false" customHeight="false" outlineLevel="0" collapsed="false">
      <c r="F972" s="50"/>
      <c r="G972" s="50"/>
      <c r="H972" s="50"/>
      <c r="I972" s="50"/>
    </row>
    <row r="973" customFormat="false" ht="15.75" hidden="false" customHeight="false" outlineLevel="0" collapsed="false">
      <c r="F973" s="50"/>
      <c r="G973" s="50"/>
      <c r="H973" s="50"/>
      <c r="I973" s="50"/>
    </row>
    <row r="974" customFormat="false" ht="15.75" hidden="false" customHeight="false" outlineLevel="0" collapsed="false">
      <c r="F974" s="50"/>
      <c r="G974" s="50"/>
      <c r="H974" s="50"/>
      <c r="I974" s="50"/>
    </row>
    <row r="975" customFormat="false" ht="15.75" hidden="false" customHeight="false" outlineLevel="0" collapsed="false">
      <c r="F975" s="50"/>
      <c r="G975" s="50"/>
      <c r="H975" s="50"/>
      <c r="I975" s="50"/>
    </row>
    <row r="976" customFormat="false" ht="15.75" hidden="false" customHeight="false" outlineLevel="0" collapsed="false">
      <c r="F976" s="50"/>
      <c r="G976" s="50"/>
      <c r="H976" s="50"/>
      <c r="I976" s="50"/>
    </row>
    <row r="977" customFormat="false" ht="15.75" hidden="false" customHeight="false" outlineLevel="0" collapsed="false">
      <c r="F977" s="50"/>
      <c r="G977" s="50"/>
      <c r="H977" s="50"/>
      <c r="I977" s="50"/>
    </row>
    <row r="978" customFormat="false" ht="15.75" hidden="false" customHeight="false" outlineLevel="0" collapsed="false">
      <c r="F978" s="50"/>
      <c r="G978" s="50"/>
      <c r="H978" s="50"/>
      <c r="I978" s="50"/>
    </row>
    <row r="979" customFormat="false" ht="15.75" hidden="false" customHeight="false" outlineLevel="0" collapsed="false">
      <c r="F979" s="50"/>
      <c r="G979" s="50"/>
      <c r="H979" s="50"/>
      <c r="I979" s="50"/>
    </row>
    <row r="980" customFormat="false" ht="15.75" hidden="false" customHeight="false" outlineLevel="0" collapsed="false">
      <c r="F980" s="50"/>
      <c r="G980" s="50"/>
      <c r="H980" s="50"/>
      <c r="I980" s="50"/>
    </row>
    <row r="981" customFormat="false" ht="15.75" hidden="false" customHeight="false" outlineLevel="0" collapsed="false">
      <c r="F981" s="50"/>
      <c r="G981" s="50"/>
      <c r="H981" s="50"/>
      <c r="I981" s="50"/>
    </row>
    <row r="982" customFormat="false" ht="15.75" hidden="false" customHeight="false" outlineLevel="0" collapsed="false">
      <c r="F982" s="50"/>
      <c r="G982" s="50"/>
      <c r="H982" s="50"/>
      <c r="I982" s="50"/>
    </row>
    <row r="983" customFormat="false" ht="15.75" hidden="false" customHeight="false" outlineLevel="0" collapsed="false">
      <c r="F983" s="50"/>
      <c r="G983" s="50"/>
      <c r="H983" s="50"/>
      <c r="I983" s="50"/>
    </row>
    <row r="984" customFormat="false" ht="15.75" hidden="false" customHeight="false" outlineLevel="0" collapsed="false">
      <c r="F984" s="50"/>
      <c r="G984" s="50"/>
      <c r="H984" s="50"/>
      <c r="I984" s="50"/>
    </row>
    <row r="985" customFormat="false" ht="15.75" hidden="false" customHeight="false" outlineLevel="0" collapsed="false">
      <c r="F985" s="50"/>
      <c r="G985" s="50"/>
      <c r="H985" s="50"/>
      <c r="I985" s="50"/>
    </row>
    <row r="986" customFormat="false" ht="15.75" hidden="false" customHeight="false" outlineLevel="0" collapsed="false">
      <c r="F986" s="50"/>
      <c r="G986" s="50"/>
      <c r="H986" s="50"/>
      <c r="I986" s="50"/>
    </row>
    <row r="987" customFormat="false" ht="15.75" hidden="false" customHeight="false" outlineLevel="0" collapsed="false">
      <c r="F987" s="50"/>
      <c r="G987" s="50"/>
      <c r="H987" s="50"/>
      <c r="I987" s="50"/>
    </row>
    <row r="988" customFormat="false" ht="15.75" hidden="false" customHeight="false" outlineLevel="0" collapsed="false">
      <c r="F988" s="50"/>
      <c r="G988" s="50"/>
      <c r="H988" s="50"/>
      <c r="I988" s="50"/>
    </row>
    <row r="989" customFormat="false" ht="15.75" hidden="false" customHeight="false" outlineLevel="0" collapsed="false">
      <c r="F989" s="50"/>
      <c r="G989" s="50"/>
      <c r="H989" s="50"/>
      <c r="I989" s="50"/>
    </row>
    <row r="990" customFormat="false" ht="15.75" hidden="false" customHeight="false" outlineLevel="0" collapsed="false">
      <c r="F990" s="50"/>
      <c r="G990" s="50"/>
      <c r="H990" s="50"/>
      <c r="I990" s="50"/>
    </row>
    <row r="991" customFormat="false" ht="15.75" hidden="false" customHeight="false" outlineLevel="0" collapsed="false">
      <c r="F991" s="50"/>
      <c r="G991" s="50"/>
      <c r="H991" s="50"/>
      <c r="I991" s="50"/>
    </row>
    <row r="992" customFormat="false" ht="15.75" hidden="false" customHeight="false" outlineLevel="0" collapsed="false">
      <c r="F992" s="50"/>
      <c r="G992" s="50"/>
      <c r="H992" s="50"/>
      <c r="I992" s="50"/>
    </row>
    <row r="993" customFormat="false" ht="15.75" hidden="false" customHeight="false" outlineLevel="0" collapsed="false">
      <c r="F993" s="50"/>
      <c r="G993" s="50"/>
      <c r="H993" s="50"/>
      <c r="I993" s="50"/>
    </row>
    <row r="994" customFormat="false" ht="15.75" hidden="false" customHeight="false" outlineLevel="0" collapsed="false">
      <c r="F994" s="50"/>
      <c r="G994" s="50"/>
      <c r="H994" s="50"/>
      <c r="I994" s="50"/>
    </row>
    <row r="995" customFormat="false" ht="15.75" hidden="false" customHeight="false" outlineLevel="0" collapsed="false">
      <c r="F995" s="50"/>
      <c r="G995" s="50"/>
      <c r="H995" s="50"/>
      <c r="I995" s="50"/>
    </row>
    <row r="996" customFormat="false" ht="15.75" hidden="false" customHeight="false" outlineLevel="0" collapsed="false">
      <c r="F996" s="50"/>
      <c r="G996" s="50"/>
      <c r="H996" s="50"/>
      <c r="I996" s="50"/>
    </row>
    <row r="997" customFormat="false" ht="15.75" hidden="false" customHeight="false" outlineLevel="0" collapsed="false">
      <c r="F997" s="50"/>
      <c r="G997" s="50"/>
      <c r="H997" s="50"/>
      <c r="I997" s="50"/>
    </row>
    <row r="998" customFormat="false" ht="15.75" hidden="false" customHeight="false" outlineLevel="0" collapsed="false">
      <c r="F998" s="50"/>
      <c r="G998" s="50"/>
      <c r="H998" s="50"/>
      <c r="I998" s="50"/>
    </row>
    <row r="999" customFormat="false" ht="15.75" hidden="false" customHeight="false" outlineLevel="0" collapsed="false">
      <c r="F999" s="50"/>
      <c r="G999" s="50"/>
      <c r="H999" s="50"/>
      <c r="I999" s="50"/>
    </row>
    <row r="1000" customFormat="false" ht="15.75" hidden="false" customHeight="false" outlineLevel="0" collapsed="false">
      <c r="F1000" s="50"/>
      <c r="G1000" s="50"/>
      <c r="H1000" s="50"/>
      <c r="I1000" s="50"/>
    </row>
    <row r="1001" customFormat="false" ht="15.75" hidden="false" customHeight="false" outlineLevel="0" collapsed="false">
      <c r="F1001" s="50"/>
      <c r="G1001" s="50"/>
      <c r="H1001" s="50"/>
      <c r="I1001" s="50"/>
    </row>
  </sheetData>
  <autoFilter ref="A1:Z55">
    <filterColumn colId="5">
      <filters>
        <filter val="Kupiona"/>
      </filters>
    </filterColumn>
    <filterColumn colId="2">
      <filters>
        <filter val="Przygodowa"/>
        <filter val="Zręcznosciowa"/>
        <filter val="Towarzyska"/>
        <filter val="Bitewna"/>
        <filter val="Logiczna"/>
        <filter val="Strategiczna"/>
        <filter val="Ekonomiczna"/>
      </filters>
    </filterColumn>
  </autoFilter>
  <conditionalFormatting sqref="C1:C1001">
    <cfRule type="expression" priority="2" aboveAverage="0" equalAverage="0" bottom="0" percent="0" rank="0" text="" dxfId="17">
      <formula>LEN(TRIM(C1))&gt;0</formula>
    </cfRule>
  </conditionalFormatting>
  <dataValidations count="1">
    <dataValidation allowBlank="true" errorStyle="stop" operator="between" showDropDown="false" showErrorMessage="false" showInputMessage="false" sqref="C1:C1001" type="list">
      <formula1>'Proposal 2017'!$Y$97:$Y$103</formula1>
      <formula2>0</formula2>
    </dataValidation>
  </dataValidations>
  <hyperlinks>
    <hyperlink ref="G10" r:id="rId1" display="standard american (56 x 87 mm): 60 szt"/>
    <hyperlink ref="G12" r:id="rId2" display="usa (57,5x89) - 49 szt."/>
    <hyperlink ref="G18" r:id="rId3" display="mini european (45 x 68 mm): 108 szt"/>
    <hyperlink ref="G39" r:id="rId4" display="mini european (45 x 68 mm): 52 szt"/>
    <hyperlink ref="G46" r:id="rId5" display="standard ccg (64x89) - 90 szt."/>
    <hyperlink ref="G47" r:id="rId6" display="classic card game (64 x 89 mm): 222 szt"/>
    <hyperlink ref="G53" r:id="rId7" display="standard american (56 x 87 mm): 158 szt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2026-02-13T15:01:28Z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